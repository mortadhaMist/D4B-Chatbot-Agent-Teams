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mbrandsinc-my.sharepoint.com/personal/psl6620_yum_com/Documents/92_Kfc/Materiel_Fin_de_vie/"/>
    </mc:Choice>
  </mc:AlternateContent>
  <xr:revisionPtr revIDLastSave="92" documentId="8_{AEBFC827-917D-4F3B-9F2E-9FED4C429FB3}" xr6:coauthVersionLast="47" xr6:coauthVersionMax="47" xr10:uidLastSave="{258217D2-3516-4A0D-A0AA-2326E3F9085B}"/>
  <bookViews>
    <workbookView xWindow="-120" yWindow="-120" windowWidth="19440" windowHeight="11520" xr2:uid="{00000000-000D-0000-FFFF-FFFF00000000}"/>
  </bookViews>
  <sheets>
    <sheet name="Synth" sheetId="6" r:id="rId1"/>
    <sheet name="Acrelec" sheetId="7" r:id="rId2"/>
    <sheet name="NCR" sheetId="8" r:id="rId3"/>
    <sheet name="Stelogy" sheetId="9" r:id="rId4"/>
    <sheet name="Interway" sheetId="10" r:id="rId5"/>
    <sheet name="Casyope" sheetId="11" r:id="rId6"/>
  </sheets>
  <externalReferences>
    <externalReference r:id="rId7"/>
    <externalReference r:id="rId8"/>
  </externalReferences>
  <definedNames>
    <definedName name="Liste">#REF!</definedName>
    <definedName name="liste2">#REF!</definedName>
    <definedName name="Liste3">'[1]ETAT CDE - MIG BORNE - SUPPLY'!$P$7:$P$8</definedName>
    <definedName name="Liste4">'[1]ETAT CDE - MIG BORNE - SUPPLY'!$P$17:$P$21</definedName>
    <definedName name="Listebdcbornes">'[1]ETAT CDE - MIG BORNE - SUPPLY'!$P$7:$P$8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2" i="6" l="1"/>
  <c r="K79" i="6"/>
  <c r="K78" i="6"/>
  <c r="K77" i="6"/>
  <c r="K76" i="6"/>
  <c r="K75" i="6"/>
  <c r="K74" i="6"/>
  <c r="I73" i="6"/>
  <c r="I72" i="6"/>
  <c r="I71" i="6"/>
  <c r="I70" i="6"/>
  <c r="K69" i="6"/>
  <c r="I69" i="6"/>
  <c r="K66" i="6"/>
  <c r="I66" i="6"/>
  <c r="I65" i="6"/>
  <c r="K64" i="6"/>
  <c r="I64" i="6"/>
  <c r="K63" i="6"/>
  <c r="I63" i="6"/>
  <c r="K25" i="10"/>
  <c r="K22" i="10"/>
  <c r="K21" i="10"/>
  <c r="K20" i="10"/>
  <c r="K19" i="10"/>
  <c r="K18" i="10"/>
  <c r="K17" i="10"/>
  <c r="I16" i="10"/>
  <c r="I15" i="10"/>
  <c r="I14" i="10"/>
  <c r="I13" i="10"/>
  <c r="K12" i="10"/>
  <c r="I12" i="10"/>
  <c r="K9" i="10"/>
  <c r="I9" i="10"/>
  <c r="I8" i="10"/>
  <c r="K7" i="10"/>
  <c r="I7" i="10"/>
  <c r="K6" i="10"/>
  <c r="I6" i="10"/>
  <c r="M61" i="6"/>
  <c r="L61" i="6"/>
  <c r="K61" i="6"/>
  <c r="I61" i="6"/>
  <c r="M60" i="6"/>
  <c r="L60" i="6"/>
  <c r="K60" i="6"/>
  <c r="I60" i="6"/>
  <c r="M59" i="6"/>
  <c r="L59" i="6"/>
  <c r="K59" i="6"/>
  <c r="I59" i="6"/>
  <c r="M58" i="6"/>
  <c r="L58" i="6"/>
  <c r="K58" i="6"/>
  <c r="I58" i="6"/>
  <c r="M57" i="6"/>
  <c r="L57" i="6"/>
  <c r="K57" i="6"/>
  <c r="I57" i="6"/>
  <c r="M56" i="6"/>
  <c r="L56" i="6"/>
  <c r="K56" i="6"/>
  <c r="I56" i="6"/>
  <c r="M55" i="6"/>
  <c r="L55" i="6"/>
  <c r="K55" i="6"/>
  <c r="I55" i="6"/>
  <c r="M12" i="9"/>
  <c r="L12" i="9"/>
  <c r="K12" i="9"/>
  <c r="I12" i="9"/>
  <c r="M11" i="9"/>
  <c r="L11" i="9"/>
  <c r="K11" i="9"/>
  <c r="I11" i="9"/>
  <c r="M10" i="9"/>
  <c r="L10" i="9"/>
  <c r="K10" i="9"/>
  <c r="I10" i="9"/>
  <c r="M9" i="9"/>
  <c r="L9" i="9"/>
  <c r="K9" i="9"/>
  <c r="I9" i="9"/>
  <c r="M8" i="9"/>
  <c r="L8" i="9"/>
  <c r="K8" i="9"/>
  <c r="I8" i="9"/>
  <c r="M7" i="9"/>
  <c r="L7" i="9"/>
  <c r="K7" i="9"/>
  <c r="I7" i="9"/>
  <c r="M6" i="9"/>
  <c r="L6" i="9"/>
  <c r="K6" i="9"/>
  <c r="I6" i="9"/>
  <c r="I51" i="6" l="1"/>
  <c r="K50" i="6"/>
  <c r="I50" i="6"/>
  <c r="K49" i="6"/>
  <c r="I49" i="6"/>
  <c r="K48" i="6"/>
  <c r="I48" i="6"/>
  <c r="I47" i="6"/>
  <c r="K46" i="6"/>
  <c r="I46" i="6"/>
  <c r="I45" i="6"/>
  <c r="I44" i="6"/>
  <c r="I11" i="8"/>
  <c r="K10" i="8"/>
  <c r="I10" i="8"/>
  <c r="K9" i="8"/>
  <c r="I9" i="8"/>
  <c r="K8" i="8"/>
  <c r="I8" i="8"/>
  <c r="I7" i="8"/>
  <c r="K6" i="8"/>
  <c r="I6" i="8"/>
  <c r="I5" i="8"/>
  <c r="I4" i="8"/>
  <c r="K42" i="7"/>
  <c r="I42" i="7"/>
  <c r="K41" i="7"/>
  <c r="I41" i="7"/>
  <c r="K40" i="7"/>
  <c r="I40" i="7"/>
  <c r="K39" i="7"/>
  <c r="I39" i="7"/>
  <c r="K38" i="7"/>
  <c r="I38" i="7"/>
  <c r="K37" i="7"/>
  <c r="I37" i="7"/>
  <c r="K36" i="7"/>
  <c r="I36" i="7"/>
  <c r="K35" i="7"/>
  <c r="I35" i="7"/>
  <c r="K34" i="7"/>
  <c r="I34" i="7"/>
  <c r="K33" i="7"/>
  <c r="I33" i="7"/>
  <c r="K32" i="7"/>
  <c r="I32" i="7"/>
  <c r="K31" i="7"/>
  <c r="I31" i="7"/>
  <c r="K30" i="7"/>
  <c r="I30" i="7"/>
  <c r="K29" i="7"/>
  <c r="I29" i="7"/>
  <c r="K28" i="7"/>
  <c r="I28" i="7"/>
  <c r="K27" i="7"/>
  <c r="I27" i="7"/>
  <c r="K26" i="7"/>
  <c r="I26" i="7"/>
  <c r="K25" i="7"/>
  <c r="I25" i="7"/>
  <c r="K24" i="7"/>
  <c r="I24" i="7"/>
  <c r="K23" i="7"/>
  <c r="I23" i="7"/>
  <c r="K22" i="7"/>
  <c r="I22" i="7"/>
  <c r="K21" i="7"/>
  <c r="I21" i="7"/>
  <c r="K20" i="7"/>
  <c r="I20" i="7"/>
  <c r="K19" i="7"/>
  <c r="I19" i="7"/>
  <c r="K18" i="7"/>
  <c r="I18" i="7"/>
  <c r="K17" i="7"/>
  <c r="I17" i="7"/>
  <c r="K16" i="7"/>
  <c r="I16" i="7"/>
  <c r="K15" i="7"/>
  <c r="I15" i="7"/>
  <c r="K14" i="7"/>
  <c r="I14" i="7"/>
  <c r="K13" i="7"/>
  <c r="I13" i="7"/>
  <c r="K12" i="7"/>
  <c r="I12" i="7"/>
  <c r="K11" i="7"/>
  <c r="I11" i="7"/>
  <c r="K10" i="7"/>
  <c r="I10" i="7"/>
  <c r="K9" i="7"/>
  <c r="I9" i="7"/>
  <c r="K8" i="7"/>
  <c r="I8" i="7"/>
  <c r="K7" i="7"/>
  <c r="I7" i="7"/>
  <c r="K6" i="7"/>
  <c r="I6" i="7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7" i="6"/>
  <c r="K6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</calcChain>
</file>

<file path=xl/sharedStrings.xml><?xml version="1.0" encoding="utf-8"?>
<sst xmlns="http://schemas.openxmlformats.org/spreadsheetml/2006/main" count="598" uniqueCount="159">
  <si>
    <t>Famille Produits</t>
  </si>
  <si>
    <t>Etat</t>
  </si>
  <si>
    <t>Au Catalogue</t>
  </si>
  <si>
    <t>Fin de vie</t>
  </si>
  <si>
    <t>Caisse Gladius</t>
  </si>
  <si>
    <t>-</t>
  </si>
  <si>
    <t>EN COURS</t>
  </si>
  <si>
    <t>DRIVE</t>
  </si>
  <si>
    <t>ECRANS CUISINE</t>
  </si>
  <si>
    <t>Ecran KDS 15p INOX</t>
  </si>
  <si>
    <t>Ecran Répétiteur 15p INOX</t>
  </si>
  <si>
    <t>COD 2008</t>
  </si>
  <si>
    <t>Produits Commercialisés 
par ACRELEC</t>
  </si>
  <si>
    <t>Périodicité</t>
  </si>
  <si>
    <t>Début de commercialisation</t>
  </si>
  <si>
    <t>Fin de commercialisation</t>
  </si>
  <si>
    <t>Sorti de catalogue</t>
  </si>
  <si>
    <t>Fin de maintenance 
annoncée</t>
  </si>
  <si>
    <t>Imprimante Fusion L90 NCR</t>
  </si>
  <si>
    <t xml:space="preserve">Avenir Light </t>
  </si>
  <si>
    <t>Imprimante SEIKO RP-F10</t>
  </si>
  <si>
    <t>Imprimante SEIKO RP-D10</t>
  </si>
  <si>
    <t>Caisse Posiflex XT3815</t>
  </si>
  <si>
    <t xml:space="preserve">PAR G5 </t>
  </si>
  <si>
    <t>PAR G5+</t>
  </si>
  <si>
    <t xml:space="preserve">Repeat KDS (R18) </t>
  </si>
  <si>
    <t xml:space="preserve">COD 2009 VEGA </t>
  </si>
  <si>
    <t xml:space="preserve">Tablette Aertab </t>
  </si>
  <si>
    <t>Serveur Redone</t>
  </si>
  <si>
    <t>ACRELEC</t>
  </si>
  <si>
    <t>KIOSKS</t>
  </si>
  <si>
    <t>Bucket</t>
  </si>
  <si>
    <t>Sortie de Maintenance annoncée en 2024 a travers le contrat 2025</t>
  </si>
  <si>
    <t>Addie K3</t>
  </si>
  <si>
    <t>K27</t>
  </si>
  <si>
    <t xml:space="preserve">K22 </t>
  </si>
  <si>
    <t>K27 Semi Outdoor</t>
  </si>
  <si>
    <t>ENCAISSEMENT</t>
  </si>
  <si>
    <t>Caisse XPOS</t>
  </si>
  <si>
    <t xml:space="preserve">Aucune possibilité de prolongation de maintenance. Equipement à remplacer via l'achat de caisses XPOS </t>
  </si>
  <si>
    <t>Caisse Posiflex RT5015</t>
  </si>
  <si>
    <t>Tiroir-caisse APG</t>
  </si>
  <si>
    <t xml:space="preserve">Tiroir Caisse Posiflex </t>
  </si>
  <si>
    <t>SOLUTION AUDIO</t>
  </si>
  <si>
    <t xml:space="preserve">HME EOS HD </t>
  </si>
  <si>
    <t>HME ION IQ</t>
  </si>
  <si>
    <t xml:space="preserve">HME Nexeo </t>
  </si>
  <si>
    <r>
      <t xml:space="preserve">Drive Digital </t>
    </r>
    <r>
      <rPr>
        <sz val="12"/>
        <color rgb="FF000000"/>
        <rFont val="Calibri Light"/>
        <family val="2"/>
        <scheme val="major"/>
      </rPr>
      <t>(1 Pré-sales + 2 Ecrans + SpeakerPost hors Audio)</t>
    </r>
    <r>
      <rPr>
        <sz val="14"/>
        <color rgb="FF000000"/>
        <rFont val="Calibri Light"/>
        <family val="2"/>
        <scheme val="major"/>
      </rPr>
      <t xml:space="preserve"> </t>
    </r>
  </si>
  <si>
    <t xml:space="preserve">PC - KDS KC4 </t>
  </si>
  <si>
    <t>PC - KDS KC5</t>
  </si>
  <si>
    <t>Inclus dans les solutions KDS Inox / KDS Next Gen</t>
  </si>
  <si>
    <r>
      <t xml:space="preserve">Ecran KDS 17 NextGen + Casing </t>
    </r>
    <r>
      <rPr>
        <sz val="11"/>
        <color rgb="FF000000"/>
        <rFont val="Calibri Light"/>
        <family val="2"/>
        <scheme val="major"/>
      </rPr>
      <t>- incluant KC4 / KC5 - avec ou sans bumpbar</t>
    </r>
  </si>
  <si>
    <t xml:space="preserve">Ecran KDS Répétiteur NextGen </t>
  </si>
  <si>
    <t>Ecran KDS Tactile</t>
  </si>
  <si>
    <r>
      <t>KDS 18 (K18) Tactile -</t>
    </r>
    <r>
      <rPr>
        <sz val="12"/>
        <color rgb="FF000000"/>
        <rFont val="Calibri Light"/>
        <family val="2"/>
        <scheme val="major"/>
      </rPr>
      <t xml:space="preserve"> avec ou sans bumpbar</t>
    </r>
  </si>
  <si>
    <t>BRIDGE</t>
  </si>
  <si>
    <t>Bridge</t>
  </si>
  <si>
    <t>ORB</t>
  </si>
  <si>
    <t xml:space="preserve">Ecran ORB </t>
  </si>
  <si>
    <t>SERVEURS</t>
  </si>
  <si>
    <r>
      <t xml:space="preserve">Serveur N4000 </t>
    </r>
    <r>
      <rPr>
        <sz val="12"/>
        <color rgb="FF000000"/>
        <rFont val="Calibri Light"/>
        <family val="2"/>
        <scheme val="major"/>
      </rPr>
      <t xml:space="preserve">(après migration en Red Biscuit uniquement) </t>
    </r>
  </si>
  <si>
    <t>BUREAUTIQUE</t>
  </si>
  <si>
    <t>Commentaires</t>
  </si>
  <si>
    <r>
      <t xml:space="preserve">Sortie de Maintenance repoussée au 31/12/2027 / </t>
    </r>
    <r>
      <rPr>
        <sz val="11"/>
        <color theme="1"/>
        <rFont val="Calibri Light"/>
        <family val="2"/>
        <scheme val="major"/>
      </rPr>
      <t>Initalement convenue au 31/12/2026</t>
    </r>
  </si>
  <si>
    <r>
      <t xml:space="preserve">Sortie de Maintenance repoussée au 31/12/2028 / </t>
    </r>
    <r>
      <rPr>
        <sz val="11"/>
        <color theme="1"/>
        <rFont val="Calibri Light"/>
        <family val="2"/>
        <scheme val="major"/>
      </rPr>
      <t>Initalement au 31/12/2027</t>
    </r>
  </si>
  <si>
    <t>Parc nb de restaurants</t>
  </si>
  <si>
    <t>Parc volume de matériel installé</t>
  </si>
  <si>
    <t>Ecart Debut  Commercialisation &amp; Fin de Commercialisation</t>
  </si>
  <si>
    <t>Ecart Fin de Commercialisation &amp; Fin de Maintanance</t>
  </si>
  <si>
    <t>Ecrat Fin de Commercialisation &amp; Fin de Maintanance</t>
  </si>
  <si>
    <t>NCR</t>
  </si>
  <si>
    <t>Serveur</t>
  </si>
  <si>
    <t>N4000, 16Gb, 240Gb SSD  Référence : 1659-0203-8801 remplacée par 1659-0202-8801</t>
  </si>
  <si>
    <r>
      <t>1659-0203-8801 le 28/02/2030</t>
    </r>
    <r>
      <rPr>
        <b/>
        <sz val="11"/>
        <color rgb="FF000000"/>
        <rFont val="Calibri Light"/>
        <family val="2"/>
      </rPr>
      <t> </t>
    </r>
  </si>
  <si>
    <t>Tous les autres sites</t>
  </si>
  <si>
    <t>N3000, 8Gb, 120Gb SSD</t>
  </si>
  <si>
    <t>31/09/2023</t>
  </si>
  <si>
    <t>5 AN(S)</t>
  </si>
  <si>
    <t>Imprimante</t>
  </si>
  <si>
    <t>Epson L90</t>
  </si>
  <si>
    <t>Pc Kds</t>
  </si>
  <si>
    <t>Kc4</t>
  </si>
  <si>
    <t>31/10/2027 </t>
  </si>
  <si>
    <t>6 AN(S)</t>
  </si>
  <si>
    <t>Kc4 sans Audio</t>
  </si>
  <si>
    <t>Kc4 Pos Ready 7</t>
  </si>
  <si>
    <t>Kc5</t>
  </si>
  <si>
    <t> 01/06/2022</t>
  </si>
  <si>
    <t>Bumpbar</t>
  </si>
  <si>
    <t>Bumbar 
Ancienne référence 1635-0003-9090
Nouvelle référence 1635-1003-9090</t>
  </si>
  <si>
    <t>1635-0003-9090 le 31/12/2030</t>
  </si>
  <si>
    <t>-  AN(S)</t>
  </si>
  <si>
    <t>Au catalogue</t>
  </si>
  <si>
    <t>STELOGY - LAFI</t>
  </si>
  <si>
    <t xml:space="preserve">Borne WIFI </t>
  </si>
  <si>
    <t>Borne WIFI INDOOR TP- LINK OMADA EAP653v1</t>
  </si>
  <si>
    <t>22/03/2022</t>
  </si>
  <si>
    <t xml:space="preserve">Borne WIFI OUTDOOR TP-LINK OMADA EAP650v1_OUT </t>
  </si>
  <si>
    <t>Swicht 48 ports</t>
  </si>
  <si>
    <t>Switch 48 ports SG3452P v3.30</t>
  </si>
  <si>
    <t xml:space="preserve">Routeur </t>
  </si>
  <si>
    <t>Routeur TP-Link ER7206 v2.20</t>
  </si>
  <si>
    <t xml:space="preserve">Routeur TP-Link ER7206 v2.0 </t>
  </si>
  <si>
    <t>Routeur MikroTik RBD52G</t>
  </si>
  <si>
    <t>Routeur 4G outdoor</t>
  </si>
  <si>
    <t>Routeur TP-Link NE210-Outdoor</t>
  </si>
  <si>
    <t>Ecrat Debut  Commercialisation &amp; Fin de Commercialisation</t>
  </si>
  <si>
    <t>INTERWAY</t>
  </si>
  <si>
    <t>Routeur</t>
  </si>
  <si>
    <t>ROUTEUR CISCO 891</t>
  </si>
  <si>
    <t>01/03/2016</t>
  </si>
  <si>
    <t>21/11/2023</t>
  </si>
  <si>
    <t>ROUTEUR CISCO 892</t>
  </si>
  <si>
    <t>01/01/2016</t>
  </si>
  <si>
    <t>ROUTEUR CISCO C899G</t>
  </si>
  <si>
    <t>01/01/2019</t>
  </si>
  <si>
    <t>29/07/2019</t>
  </si>
  <si>
    <t>31/11/2019</t>
  </si>
  <si>
    <t>0  AN(S)</t>
  </si>
  <si>
    <t>ROUTEUR CISCO IC921-4P</t>
  </si>
  <si>
    <t xml:space="preserve">  </t>
  </si>
  <si>
    <t>ROUTEUR CISCO 1812</t>
  </si>
  <si>
    <t>ROUTEUR CISCO C1111-8PLTEEA</t>
  </si>
  <si>
    <t>ROUTEUR MERAKI MG21</t>
  </si>
  <si>
    <t>ROUTEUR MERAKI MX67</t>
  </si>
  <si>
    <t>ROUTEUR MERAKI MS120-48</t>
  </si>
  <si>
    <t>ROUTEUR MERAKI MS120-48LP</t>
  </si>
  <si>
    <t>TPE</t>
  </si>
  <si>
    <t>TPE INGENICO LANE3000 EXT 3 ANS DEDIE KFC V5</t>
  </si>
  <si>
    <t xml:space="preserve"> 1/07/2019 </t>
  </si>
  <si>
    <t xml:space="preserve">5 ans après date de fin de commercialisation </t>
  </si>
  <si>
    <t>TPE INGENICO LANE3600 EXT 3 ANS DEDIE KFC V5</t>
  </si>
  <si>
    <t>N/A</t>
  </si>
  <si>
    <t>TPE Automate SELF4000</t>
  </si>
  <si>
    <t>TPE INGENICO IWL250G DEDIE KFC V3</t>
  </si>
  <si>
    <t>TPE INGENICO IWL250B CL DEDIE KFC V3</t>
  </si>
  <si>
    <t>TPE INGENICO IPP350 CL V3</t>
  </si>
  <si>
    <t>TPE INGENICO IUN NON CL COMPLET V2</t>
  </si>
  <si>
    <t>TPE INGENICO MOVE5000 B CL EM V5 EXT 3 ANS DEDIE KFC V5</t>
  </si>
  <si>
    <t xml:space="preserve"> 31/12/2023 </t>
  </si>
  <si>
    <t>TPE INGENICO MOVE5000 3G CL BASE CHARGEUR DEDIE KFC V5</t>
  </si>
  <si>
    <t>TPE INGENICO IPP320 CL DEDIE KFC V2</t>
  </si>
  <si>
    <t>Ecart Fin de Commercialisation &amp; Fin de Maintenance</t>
  </si>
  <si>
    <t>CASYOPE</t>
  </si>
  <si>
    <t>OUI</t>
  </si>
  <si>
    <t>non annoncée</t>
  </si>
  <si>
    <t>Il sera remplacé par le DX8000 - TPE sous Android mais fonctionnement centrélisé dans AXIS comme le move 5000</t>
  </si>
  <si>
    <t>TPE INGENICO MOVE5000 B CL EM V5 EXT 1 AN DEDIE KFC V5</t>
  </si>
  <si>
    <t>04/2031pour PCI PTS V5</t>
  </si>
  <si>
    <t>30/09/2026</t>
  </si>
  <si>
    <t>5  AN(S)</t>
  </si>
  <si>
    <t>10/01/2014</t>
  </si>
  <si>
    <t>20/06/2017</t>
  </si>
  <si>
    <t>01/12/2019</t>
  </si>
  <si>
    <t>15/06/2020</t>
  </si>
  <si>
    <t>01/06/2019</t>
  </si>
  <si>
    <t>01/11/2022</t>
  </si>
  <si>
    <t>01/10/2022</t>
  </si>
  <si>
    <t>: Plus au catalogue ou sorti du catalogue ou plus maintenu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</si>
</sst>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2"/>
      <color rgb="FF000000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22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rgb="FF000000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20"/>
      <color theme="1"/>
      <name val="Arial"/>
      <family val="2"/>
    </font>
    <font>
      <b/>
      <sz val="12"/>
      <color rgb="FF000000"/>
      <name val="Calibri"/>
      <family val="2"/>
    </font>
    <font>
      <sz val="11"/>
      <color rgb="FF000000"/>
      <name val="Calibri Light"/>
      <family val="2"/>
    </font>
    <font>
      <sz val="12"/>
      <color theme="1"/>
      <name val="Calibri Light"/>
      <family val="2"/>
      <scheme val="major"/>
    </font>
    <font>
      <sz val="10"/>
      <color rgb="FF000000"/>
      <name val="Times New Roman"/>
      <family val="1"/>
    </font>
    <font>
      <b/>
      <sz val="11"/>
      <color rgb="FF000000"/>
      <name val="Calibri Light"/>
      <family val="2"/>
    </font>
    <font>
      <b/>
      <sz val="12"/>
      <color rgb="FF000000"/>
      <name val="Calibri Light"/>
      <family val="2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9.75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1" tint="0.3499862666707357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0" fillId="0" borderId="0" xfId="0" quotePrefix="1"/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0" fillId="0" borderId="1" xfId="0" applyBorder="1"/>
    <xf numFmtId="0" fontId="18" fillId="3" borderId="1" xfId="0" applyFont="1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2" borderId="1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" fillId="0" borderId="17" xfId="0" applyFont="1" applyBorder="1"/>
    <xf numFmtId="49" fontId="14" fillId="0" borderId="17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49" fontId="25" fillId="7" borderId="1" xfId="0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14" fontId="25" fillId="2" borderId="1" xfId="0" applyNumberFormat="1" applyFont="1" applyFill="1" applyBorder="1" applyAlignment="1">
      <alignment horizontal="center" vertical="center"/>
    </xf>
    <xf numFmtId="14" fontId="26" fillId="2" borderId="1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17" xfId="0" applyBorder="1"/>
    <xf numFmtId="0" fontId="25" fillId="2" borderId="1" xfId="0" applyFont="1" applyFill="1" applyBorder="1" applyAlignment="1">
      <alignment horizontal="center" vertical="center"/>
    </xf>
    <xf numFmtId="14" fontId="25" fillId="2" borderId="16" xfId="0" applyNumberFormat="1" applyFont="1" applyFill="1" applyBorder="1" applyAlignment="1">
      <alignment horizontal="center" vertical="center"/>
    </xf>
    <xf numFmtId="14" fontId="25" fillId="2" borderId="1" xfId="0" applyNumberFormat="1" applyFont="1" applyFill="1" applyBorder="1" applyAlignment="1">
      <alignment horizontal="center"/>
    </xf>
    <xf numFmtId="49" fontId="25" fillId="0" borderId="1" xfId="0" applyNumberFormat="1" applyFont="1" applyBorder="1" applyAlignment="1">
      <alignment horizontal="left" vertical="center" wrapText="1"/>
    </xf>
    <xf numFmtId="14" fontId="3" fillId="2" borderId="17" xfId="0" applyNumberFormat="1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49" fontId="14" fillId="0" borderId="1" xfId="0" applyNumberFormat="1" applyFont="1" applyBorder="1" applyAlignment="1">
      <alignment horizontal="right" vertical="center"/>
    </xf>
    <xf numFmtId="49" fontId="14" fillId="0" borderId="17" xfId="0" applyNumberFormat="1" applyFont="1" applyBorder="1" applyAlignment="1">
      <alignment horizontal="right" vertical="center"/>
    </xf>
    <xf numFmtId="1" fontId="14" fillId="0" borderId="1" xfId="0" applyNumberFormat="1" applyFont="1" applyBorder="1" applyAlignment="1">
      <alignment horizontal="right" vertical="center"/>
    </xf>
    <xf numFmtId="1" fontId="14" fillId="0" borderId="17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27" fillId="5" borderId="8" xfId="0" applyFont="1" applyFill="1" applyBorder="1" applyAlignment="1">
      <alignment horizontal="right" vertical="center" wrapText="1"/>
    </xf>
    <xf numFmtId="0" fontId="14" fillId="0" borderId="12" xfId="0" applyFont="1" applyBorder="1" applyAlignment="1">
      <alignment horizontal="right" vertical="center" wrapText="1"/>
    </xf>
    <xf numFmtId="0" fontId="14" fillId="0" borderId="6" xfId="0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9" fontId="28" fillId="7" borderId="1" xfId="0" applyNumberFormat="1" applyFont="1" applyFill="1" applyBorder="1" applyAlignment="1">
      <alignment horizontal="left" vertical="center" wrapText="1"/>
    </xf>
    <xf numFmtId="49" fontId="28" fillId="7" borderId="1" xfId="0" applyNumberFormat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28" fillId="3" borderId="1" xfId="0" applyNumberFormat="1" applyFont="1" applyFill="1" applyBorder="1" applyAlignment="1">
      <alignment horizontal="center" vertical="center" wrapText="1"/>
    </xf>
    <xf numFmtId="49" fontId="28" fillId="6" borderId="1" xfId="0" applyNumberFormat="1" applyFont="1" applyFill="1" applyBorder="1" applyAlignment="1">
      <alignment horizontal="center" vertical="center" wrapText="1"/>
    </xf>
    <xf numFmtId="49" fontId="25" fillId="7" borderId="1" xfId="0" applyNumberFormat="1" applyFont="1" applyFill="1" applyBorder="1" applyAlignment="1">
      <alignment horizontal="center" vertical="center" wrapText="1"/>
    </xf>
    <xf numFmtId="14" fontId="25" fillId="7" borderId="1" xfId="0" applyNumberFormat="1" applyFont="1" applyFill="1" applyBorder="1" applyAlignment="1">
      <alignment horizontal="center" vertical="center" wrapText="1"/>
    </xf>
    <xf numFmtId="14" fontId="25" fillId="7" borderId="1" xfId="0" applyNumberFormat="1" applyFont="1" applyFill="1" applyBorder="1" applyAlignment="1">
      <alignment horizont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4" fillId="2" borderId="1" xfId="0" quotePrefix="1" applyFont="1" applyFill="1" applyBorder="1" applyAlignment="1">
      <alignment horizontal="right" vertical="center"/>
    </xf>
    <xf numFmtId="0" fontId="16" fillId="0" borderId="9" xfId="0" applyFont="1" applyBorder="1" applyAlignment="1">
      <alignment vertical="center" textRotation="180"/>
    </xf>
    <xf numFmtId="0" fontId="16" fillId="0" borderId="27" xfId="0" applyFont="1" applyBorder="1" applyAlignment="1">
      <alignment vertical="center" textRotation="180"/>
    </xf>
    <xf numFmtId="0" fontId="17" fillId="0" borderId="26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0" fillId="5" borderId="8" xfId="0" applyFont="1" applyFill="1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10" fillId="0" borderId="4" xfId="0" applyFont="1" applyBorder="1" applyAlignment="1">
      <alignment horizontal="center" vertical="center" textRotation="180"/>
    </xf>
    <xf numFmtId="0" fontId="10" fillId="0" borderId="5" xfId="0" applyFont="1" applyBorder="1" applyAlignment="1">
      <alignment horizontal="center" vertical="center" textRotation="180"/>
    </xf>
    <xf numFmtId="0" fontId="10" fillId="0" borderId="24" xfId="0" applyFont="1" applyBorder="1" applyAlignment="1">
      <alignment horizontal="center" vertical="center" textRotation="180"/>
    </xf>
    <xf numFmtId="0" fontId="11" fillId="0" borderId="1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0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/>
    <xf numFmtId="0" fontId="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vertical="center" textRotation="180"/>
    </xf>
    <xf numFmtId="0" fontId="16" fillId="0" borderId="25" xfId="0" applyFont="1" applyBorder="1" applyAlignment="1">
      <alignment vertical="center" textRotation="180"/>
    </xf>
    <xf numFmtId="0" fontId="24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textRotation="180"/>
    </xf>
    <xf numFmtId="0" fontId="23" fillId="2" borderId="18" xfId="0" applyFont="1" applyFill="1" applyBorder="1" applyAlignment="1">
      <alignment horizontal="center" vertical="center" textRotation="180"/>
    </xf>
    <xf numFmtId="0" fontId="23" fillId="2" borderId="23" xfId="0" applyFont="1" applyFill="1" applyBorder="1" applyAlignment="1">
      <alignment horizontal="center" vertical="center" textRotation="180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egory.todesco\AppData\Local\Microsoft\Windows\Temporary%20Internet%20Files\Content.Outlook\TI2CN2OT\23-04-18%20-%20Suivi%20des%20commandes-%20Migration%20Aloh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sites/EquipeCdPClient/Documents%20partages/Canal%20global/01_Compte%20Client/01_KFC/01_PLANIFICATION/1.%2020241024_KFC23_A_PMP%20GP%20V5.xlsx" TargetMode="External"/><Relationship Id="rId2" Type="http://schemas.openxmlformats.org/officeDocument/2006/relationships/externalLinkPath" Target="https://stelogy.sharepoint.com/sites/EquipeCdPClient/Documents%20partages/Canal%20global/01_Compte%20Client/01_KFC/01_PLANIFICATION/1.%2020241024_KFC23_A_PMP%20GP%20V5.xlsx" TargetMode="External"/><Relationship Id="rId1" Type="http://schemas.openxmlformats.org/officeDocument/2006/relationships/externalLinkPath" Target="/sites/EquipeCdPClient/Documents%20partages/Canal%20global/01_Compte%20Client/01_KFC/01_PLANIFICATION/1.%2020241024_KFC23_A_PMP%20GP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AT CDE - MIG BORNE - SUPPLY"/>
      <sheetName val="ETAT CDE - MIG NCR - 19-04"/>
      <sheetName val="ETAT CDE - MIG BORNE - 19-04"/>
    </sheetNames>
    <sheetDataSet>
      <sheetData sheetId="0">
        <row r="7">
          <cell r="P7" t="str">
            <v>0- Attente confirmation SupplyChain</v>
          </cell>
        </row>
        <row r="8">
          <cell r="P8" t="str">
            <v>1- Mise à disposition confirmée</v>
          </cell>
        </row>
        <row r="17">
          <cell r="P17" t="str">
            <v xml:space="preserve">0 - Commande a passer chez Interway </v>
          </cell>
        </row>
        <row r="18">
          <cell r="P18" t="str">
            <v>1 - Commande passée chez Interway</v>
          </cell>
        </row>
        <row r="19">
          <cell r="P19" t="str">
            <v>2- Attente date livrasion Interway</v>
          </cell>
        </row>
        <row r="21">
          <cell r="P21" t="str">
            <v>3- Livraison confirmée par Interway</v>
          </cell>
        </row>
      </sheetData>
      <sheetData sheetId="1"/>
      <sheetData sheetId="2">
        <row r="6">
          <cell r="O6" t="str">
            <v>0- Attente confirmation SupplyChain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AH-CsXLK0-twkbgGRgDZiNYiGEycz9MtqiBlzursFDCKXGSBQvZQaKLKNE7AGHq" itemId="01XOITNKPS2YYBLRSZNRFZY6MMFDR6LOGW">
      <xxl21:absoluteUrl r:id="rId2"/>
      <xxl21:relativeUrl r:id="rId3"/>
    </xxl21:alternateUrls>
    <sheetNames>
      <sheetName val="Gestion des communications"/>
      <sheetName val="Gestion des parties prenantes"/>
      <sheetName val="DEPLOIEMENT"/>
      <sheetName val="Gestion des incidents"/>
      <sheetName val="Base de Données"/>
      <sheetName val="Gestion facturation AS "/>
      <sheetName val="Gestion des coûts"/>
      <sheetName val="INDUSTRIALISATION"/>
      <sheetName val="CONCEPTION"/>
      <sheetName val="Gestion des évènements"/>
      <sheetName val="DATA"/>
      <sheetName val="Gestions des tâches"/>
      <sheetName val="Autres"/>
      <sheetName val="Statistiques par site"/>
      <sheetName val="Statistiques Globales"/>
      <sheetName val="Gestion du périmètre Autres"/>
      <sheetName val="Gestion de la rentabilité"/>
      <sheetName val="Feuil1"/>
      <sheetName val="Gestion des approvisionnements"/>
      <sheetName val="Gestion de la qualité"/>
      <sheetName val="Gestion des ressources"/>
      <sheetName val="Gestion des documents"/>
      <sheetName val="Gestion des Risq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V2">
            <v>33</v>
          </cell>
          <cell r="BW2" t="str">
            <v>70</v>
          </cell>
        </row>
        <row r="3">
          <cell r="BV3">
            <v>17</v>
          </cell>
          <cell r="BW3" t="str">
            <v>26</v>
          </cell>
        </row>
        <row r="4">
          <cell r="BV4">
            <v>33</v>
          </cell>
          <cell r="BW4" t="str">
            <v>33</v>
          </cell>
        </row>
        <row r="5">
          <cell r="BV5">
            <v>21</v>
          </cell>
          <cell r="BW5">
            <v>21</v>
          </cell>
        </row>
        <row r="6">
          <cell r="BV6">
            <v>12</v>
          </cell>
          <cell r="BW6">
            <v>12</v>
          </cell>
        </row>
        <row r="7">
          <cell r="BV7">
            <v>0</v>
          </cell>
          <cell r="BW7">
            <v>0</v>
          </cell>
        </row>
        <row r="8">
          <cell r="BV8">
            <v>32</v>
          </cell>
          <cell r="BW8">
            <v>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3BDE-4B81-4CAF-AD27-C53104D4BE71}">
  <dimension ref="A2:P86"/>
  <sheetViews>
    <sheetView tabSelected="1" zoomScale="50" zoomScaleNormal="50" workbookViewId="0">
      <selection activeCell="C3" sqref="C3"/>
    </sheetView>
  </sheetViews>
  <sheetFormatPr baseColWidth="10" defaultRowHeight="15" x14ac:dyDescent="0.25"/>
  <cols>
    <col min="2" max="2" width="25.140625" customWidth="1"/>
    <col min="3" max="3" width="72" customWidth="1"/>
    <col min="4" max="4" width="18.140625" customWidth="1"/>
    <col min="5" max="5" width="32" customWidth="1"/>
    <col min="6" max="6" width="14.5703125" customWidth="1"/>
    <col min="7" max="7" width="32.42578125" customWidth="1"/>
    <col min="8" max="8" width="25.42578125" customWidth="1"/>
    <col min="9" max="9" width="29.140625" customWidth="1"/>
    <col min="10" max="10" width="34.28515625" customWidth="1"/>
    <col min="11" max="11" width="20.7109375" customWidth="1"/>
    <col min="12" max="12" width="22.85546875" customWidth="1"/>
    <col min="13" max="13" width="26.42578125" customWidth="1"/>
    <col min="14" max="14" width="142.28515625" customWidth="1"/>
  </cols>
  <sheetData>
    <row r="2" spans="1:14" x14ac:dyDescent="0.25">
      <c r="B2" s="155"/>
      <c r="C2" t="s">
        <v>158</v>
      </c>
    </row>
    <row r="4" spans="1:14" ht="18.75" x14ac:dyDescent="0.25">
      <c r="B4" s="145" t="s">
        <v>0</v>
      </c>
      <c r="C4" s="145" t="s">
        <v>12</v>
      </c>
      <c r="D4" s="136" t="s">
        <v>1</v>
      </c>
      <c r="E4" s="136"/>
      <c r="F4" s="136"/>
      <c r="G4" s="137" t="s">
        <v>13</v>
      </c>
      <c r="H4" s="138"/>
      <c r="I4" s="138"/>
      <c r="J4" s="138"/>
      <c r="K4" s="138"/>
      <c r="L4" s="138"/>
      <c r="M4" s="138"/>
      <c r="N4" s="139"/>
    </row>
    <row r="5" spans="1:14" ht="75.75" thickBot="1" x14ac:dyDescent="0.3">
      <c r="B5" s="145"/>
      <c r="C5" s="145"/>
      <c r="D5" s="29" t="s">
        <v>2</v>
      </c>
      <c r="E5" s="29" t="s">
        <v>16</v>
      </c>
      <c r="F5" s="29" t="s">
        <v>3</v>
      </c>
      <c r="G5" s="19" t="s">
        <v>14</v>
      </c>
      <c r="H5" s="19" t="s">
        <v>15</v>
      </c>
      <c r="I5" s="19" t="s">
        <v>67</v>
      </c>
      <c r="J5" s="19" t="s">
        <v>17</v>
      </c>
      <c r="K5" s="19" t="s">
        <v>68</v>
      </c>
      <c r="L5" s="19" t="s">
        <v>65</v>
      </c>
      <c r="M5" s="19" t="s">
        <v>66</v>
      </c>
      <c r="N5" s="19" t="s">
        <v>62</v>
      </c>
    </row>
    <row r="6" spans="1:14" ht="19.5" thickTop="1" x14ac:dyDescent="0.25">
      <c r="A6" s="119" t="s">
        <v>29</v>
      </c>
      <c r="B6" s="140" t="s">
        <v>30</v>
      </c>
      <c r="C6" s="21" t="s">
        <v>19</v>
      </c>
      <c r="D6" s="2"/>
      <c r="E6" s="8"/>
      <c r="F6" s="14"/>
      <c r="G6" s="4">
        <v>43739</v>
      </c>
      <c r="H6" s="4">
        <v>44622</v>
      </c>
      <c r="I6" s="22" t="str">
        <f t="shared" ref="I6:I42" si="0">IF(H6="EN COURS","-",DATEDIF(G6,H6,"y"))&amp;"  AN(S)"</f>
        <v>2  AN(S)</v>
      </c>
      <c r="J6" s="5" t="s">
        <v>5</v>
      </c>
      <c r="K6" s="93" t="str">
        <f>IF(J6="-","-",DATEDIF(J6,H6,"y"))&amp;"  AN(S)"</f>
        <v>-  AN(S)</v>
      </c>
      <c r="L6" s="92">
        <v>50</v>
      </c>
      <c r="M6" s="92">
        <v>336</v>
      </c>
      <c r="N6" s="23"/>
    </row>
    <row r="7" spans="1:14" ht="18.75" x14ac:dyDescent="0.25">
      <c r="A7" s="120"/>
      <c r="B7" s="140"/>
      <c r="C7" s="21" t="s">
        <v>31</v>
      </c>
      <c r="D7" s="8"/>
      <c r="E7" s="8"/>
      <c r="F7" s="14"/>
      <c r="G7" s="4">
        <v>42531</v>
      </c>
      <c r="H7" s="4">
        <v>43830</v>
      </c>
      <c r="I7" s="22" t="str">
        <f t="shared" si="0"/>
        <v>3  AN(S)</v>
      </c>
      <c r="J7" s="5">
        <v>46022</v>
      </c>
      <c r="K7" s="93" t="str">
        <f>IF(J7="-","-",DATEDIF(H7,J7,"y"))&amp;"  AN(S)"</f>
        <v>6  AN(S)</v>
      </c>
      <c r="L7" s="92">
        <v>22</v>
      </c>
      <c r="M7" s="92">
        <v>145</v>
      </c>
      <c r="N7" s="24" t="s">
        <v>32</v>
      </c>
    </row>
    <row r="8" spans="1:14" ht="18.75" x14ac:dyDescent="0.25">
      <c r="A8" s="120"/>
      <c r="B8" s="140"/>
      <c r="C8" s="21" t="s">
        <v>33</v>
      </c>
      <c r="D8" s="8"/>
      <c r="E8" s="14"/>
      <c r="F8" s="8"/>
      <c r="G8" s="4">
        <v>43647</v>
      </c>
      <c r="H8" s="4">
        <v>44735</v>
      </c>
      <c r="I8" s="22" t="str">
        <f t="shared" si="0"/>
        <v>2  AN(S)</v>
      </c>
      <c r="J8" s="5" t="s">
        <v>5</v>
      </c>
      <c r="K8" s="93" t="str">
        <f t="shared" ref="K8:K42" si="1">IF(J8="-","-",DATEDIF(H8,J8,"y"))&amp;"  AN(S)"</f>
        <v>-  AN(S)</v>
      </c>
      <c r="L8" s="92">
        <v>58</v>
      </c>
      <c r="M8" s="92">
        <v>382</v>
      </c>
      <c r="N8" s="25"/>
    </row>
    <row r="9" spans="1:14" ht="18.75" x14ac:dyDescent="0.25">
      <c r="A9" s="120"/>
      <c r="B9" s="140"/>
      <c r="C9" s="21" t="s">
        <v>34</v>
      </c>
      <c r="D9" s="14"/>
      <c r="E9" s="2"/>
      <c r="F9" s="8"/>
      <c r="G9" s="4">
        <v>44635</v>
      </c>
      <c r="H9" s="6" t="s">
        <v>6</v>
      </c>
      <c r="I9" s="22" t="str">
        <f t="shared" si="0"/>
        <v>-  AN(S)</v>
      </c>
      <c r="J9" s="5" t="s">
        <v>5</v>
      </c>
      <c r="K9" s="93" t="str">
        <f t="shared" si="1"/>
        <v>-  AN(S)</v>
      </c>
      <c r="L9" s="92">
        <v>137</v>
      </c>
      <c r="M9" s="92">
        <v>988</v>
      </c>
      <c r="N9" s="25"/>
    </row>
    <row r="10" spans="1:14" ht="18.75" x14ac:dyDescent="0.25">
      <c r="A10" s="120"/>
      <c r="B10" s="140"/>
      <c r="C10" s="21" t="s">
        <v>35</v>
      </c>
      <c r="D10" s="15"/>
      <c r="E10" s="10"/>
      <c r="F10" s="9"/>
      <c r="G10" s="4">
        <v>44577</v>
      </c>
      <c r="H10" s="6" t="s">
        <v>6</v>
      </c>
      <c r="I10" s="26" t="str">
        <f t="shared" si="0"/>
        <v>-  AN(S)</v>
      </c>
      <c r="J10" s="5" t="s">
        <v>5</v>
      </c>
      <c r="K10" s="93" t="str">
        <f t="shared" si="1"/>
        <v>-  AN(S)</v>
      </c>
      <c r="L10" s="92">
        <v>120</v>
      </c>
      <c r="M10" s="92">
        <v>848</v>
      </c>
      <c r="N10" s="23"/>
    </row>
    <row r="11" spans="1:14" ht="18.75" x14ac:dyDescent="0.25">
      <c r="A11" s="120"/>
      <c r="B11" s="140"/>
      <c r="C11" s="21" t="s">
        <v>36</v>
      </c>
      <c r="D11" s="15"/>
      <c r="E11" s="10"/>
      <c r="F11" s="9"/>
      <c r="G11" s="4">
        <v>44986</v>
      </c>
      <c r="H11" s="6" t="s">
        <v>6</v>
      </c>
      <c r="I11" s="22" t="str">
        <f t="shared" si="0"/>
        <v>-  AN(S)</v>
      </c>
      <c r="J11" s="5" t="s">
        <v>5</v>
      </c>
      <c r="K11" s="93" t="str">
        <f t="shared" si="1"/>
        <v>-  AN(S)</v>
      </c>
      <c r="L11" s="92">
        <v>2</v>
      </c>
      <c r="M11" s="92">
        <v>3</v>
      </c>
      <c r="N11" s="25"/>
    </row>
    <row r="12" spans="1:14" ht="18.75" x14ac:dyDescent="0.25">
      <c r="A12" s="120"/>
      <c r="B12" s="140" t="s">
        <v>37</v>
      </c>
      <c r="C12" s="21" t="s">
        <v>4</v>
      </c>
      <c r="D12" s="2"/>
      <c r="E12" s="8"/>
      <c r="F12" s="14"/>
      <c r="G12" s="4">
        <v>41426</v>
      </c>
      <c r="H12" s="4">
        <v>42773</v>
      </c>
      <c r="I12" s="26" t="str">
        <f t="shared" si="0"/>
        <v>3  AN(S)</v>
      </c>
      <c r="J12" s="5">
        <v>45291</v>
      </c>
      <c r="K12" s="93" t="str">
        <f t="shared" si="1"/>
        <v>6  AN(S)</v>
      </c>
      <c r="L12" s="92">
        <v>23</v>
      </c>
      <c r="M12" s="92">
        <v>83</v>
      </c>
      <c r="N12" s="23"/>
    </row>
    <row r="13" spans="1:14" ht="18.75" x14ac:dyDescent="0.25">
      <c r="A13" s="120"/>
      <c r="B13" s="140"/>
      <c r="C13" s="21" t="s">
        <v>38</v>
      </c>
      <c r="D13" s="14"/>
      <c r="E13" s="8"/>
      <c r="F13" s="8"/>
      <c r="G13" s="4">
        <v>44714</v>
      </c>
      <c r="H13" s="6" t="s">
        <v>6</v>
      </c>
      <c r="I13" s="26" t="str">
        <f t="shared" si="0"/>
        <v>-  AN(S)</v>
      </c>
      <c r="J13" s="5" t="s">
        <v>5</v>
      </c>
      <c r="K13" s="93" t="str">
        <f t="shared" si="1"/>
        <v>-  AN(S)</v>
      </c>
      <c r="L13" s="92">
        <v>216</v>
      </c>
      <c r="M13" s="92">
        <v>698</v>
      </c>
      <c r="N13" s="24"/>
    </row>
    <row r="14" spans="1:14" ht="18.75" x14ac:dyDescent="0.25">
      <c r="A14" s="120"/>
      <c r="B14" s="140"/>
      <c r="C14" s="21" t="s">
        <v>22</v>
      </c>
      <c r="D14" s="8"/>
      <c r="E14" s="14"/>
      <c r="F14" s="2"/>
      <c r="G14" s="4">
        <v>43101</v>
      </c>
      <c r="H14" s="4">
        <v>43983</v>
      </c>
      <c r="I14" s="22" t="str">
        <f t="shared" si="0"/>
        <v>2  AN(S)</v>
      </c>
      <c r="J14" s="5">
        <v>46022</v>
      </c>
      <c r="K14" s="93" t="str">
        <f t="shared" si="1"/>
        <v>5  AN(S)</v>
      </c>
      <c r="L14" s="92">
        <v>126</v>
      </c>
      <c r="M14" s="92">
        <v>448</v>
      </c>
      <c r="N14" s="24" t="s">
        <v>39</v>
      </c>
    </row>
    <row r="15" spans="1:14" ht="18.75" x14ac:dyDescent="0.25">
      <c r="A15" s="120"/>
      <c r="B15" s="140"/>
      <c r="C15" s="21" t="s">
        <v>40</v>
      </c>
      <c r="D15" s="8"/>
      <c r="E15" s="14"/>
      <c r="F15" s="2"/>
      <c r="G15" s="4">
        <v>43983</v>
      </c>
      <c r="H15" s="4">
        <v>44713</v>
      </c>
      <c r="I15" s="22" t="str">
        <f t="shared" si="0"/>
        <v>2  AN(S)</v>
      </c>
      <c r="J15" s="5" t="s">
        <v>5</v>
      </c>
      <c r="K15" s="93" t="str">
        <f t="shared" si="1"/>
        <v>-  AN(S)</v>
      </c>
      <c r="L15" s="92">
        <v>39</v>
      </c>
      <c r="M15" s="92">
        <v>113</v>
      </c>
      <c r="N15" s="24"/>
    </row>
    <row r="16" spans="1:14" ht="18.75" x14ac:dyDescent="0.25">
      <c r="A16" s="120"/>
      <c r="B16" s="140"/>
      <c r="C16" s="21" t="s">
        <v>41</v>
      </c>
      <c r="D16" s="8"/>
      <c r="E16" s="8"/>
      <c r="F16" s="14"/>
      <c r="G16" s="4">
        <v>43132</v>
      </c>
      <c r="H16" s="4">
        <v>43503</v>
      </c>
      <c r="I16" s="22" t="str">
        <f t="shared" si="0"/>
        <v>1  AN(S)</v>
      </c>
      <c r="J16" s="5">
        <v>45291</v>
      </c>
      <c r="K16" s="93" t="str">
        <f t="shared" si="1"/>
        <v>4  AN(S)</v>
      </c>
      <c r="L16" s="92">
        <v>46</v>
      </c>
      <c r="M16" s="92">
        <v>46</v>
      </c>
      <c r="N16" s="24"/>
    </row>
    <row r="17" spans="1:16" ht="18.75" x14ac:dyDescent="0.25">
      <c r="A17" s="120"/>
      <c r="B17" s="140"/>
      <c r="C17" s="21" t="s">
        <v>42</v>
      </c>
      <c r="D17" s="14"/>
      <c r="E17" s="2"/>
      <c r="F17" s="2"/>
      <c r="G17" s="12">
        <v>43984</v>
      </c>
      <c r="H17" s="13" t="s">
        <v>6</v>
      </c>
      <c r="I17" s="26" t="str">
        <f t="shared" si="0"/>
        <v>-  AN(S)</v>
      </c>
      <c r="J17" s="5" t="s">
        <v>5</v>
      </c>
      <c r="K17" s="93" t="str">
        <f t="shared" si="1"/>
        <v>-  AN(S)</v>
      </c>
      <c r="L17" s="92">
        <v>183</v>
      </c>
      <c r="M17" s="92">
        <v>435</v>
      </c>
      <c r="N17" s="24"/>
    </row>
    <row r="18" spans="1:16" ht="18.75" x14ac:dyDescent="0.25">
      <c r="A18" s="120"/>
      <c r="B18" s="140"/>
      <c r="C18" s="21" t="s">
        <v>20</v>
      </c>
      <c r="D18" s="14"/>
      <c r="E18" s="8"/>
      <c r="F18" s="8"/>
      <c r="G18" s="12">
        <v>44562</v>
      </c>
      <c r="H18" s="13" t="s">
        <v>6</v>
      </c>
      <c r="I18" s="26" t="str">
        <f t="shared" si="0"/>
        <v>-  AN(S)</v>
      </c>
      <c r="J18" s="5" t="s">
        <v>5</v>
      </c>
      <c r="K18" s="93" t="str">
        <f t="shared" si="1"/>
        <v>-  AN(S)</v>
      </c>
      <c r="L18" s="92">
        <v>209</v>
      </c>
      <c r="M18" s="92">
        <v>444</v>
      </c>
      <c r="N18" s="24"/>
    </row>
    <row r="19" spans="1:16" ht="18.75" x14ac:dyDescent="0.25">
      <c r="A19" s="120"/>
      <c r="B19" s="140"/>
      <c r="C19" s="21" t="s">
        <v>21</v>
      </c>
      <c r="D19" s="8"/>
      <c r="E19" s="8"/>
      <c r="F19" s="14"/>
      <c r="G19" s="4">
        <v>43101</v>
      </c>
      <c r="H19" s="3">
        <v>44561</v>
      </c>
      <c r="I19" s="22" t="str">
        <f t="shared" si="0"/>
        <v>3  AN(S)</v>
      </c>
      <c r="J19" s="5">
        <v>45657</v>
      </c>
      <c r="K19" s="93" t="str">
        <f t="shared" si="1"/>
        <v>3  AN(S)</v>
      </c>
      <c r="L19" s="92">
        <v>61</v>
      </c>
      <c r="M19" s="92">
        <v>129</v>
      </c>
      <c r="N19" s="24"/>
    </row>
    <row r="20" spans="1:16" ht="18.75" x14ac:dyDescent="0.25">
      <c r="A20" s="120"/>
      <c r="B20" s="140"/>
      <c r="C20" s="21" t="s">
        <v>18</v>
      </c>
      <c r="D20" s="14"/>
      <c r="E20" s="2"/>
      <c r="F20" s="2"/>
      <c r="G20" s="4">
        <v>43101</v>
      </c>
      <c r="H20" s="13" t="s">
        <v>6</v>
      </c>
      <c r="I20" s="26" t="str">
        <f t="shared" si="0"/>
        <v>-  AN(S)</v>
      </c>
      <c r="J20" s="5" t="s">
        <v>5</v>
      </c>
      <c r="K20" s="93" t="str">
        <f t="shared" si="1"/>
        <v>-  AN(S)</v>
      </c>
      <c r="L20" s="92">
        <v>141</v>
      </c>
      <c r="M20" s="92">
        <v>136</v>
      </c>
      <c r="N20" s="24"/>
    </row>
    <row r="21" spans="1:16" ht="18.75" x14ac:dyDescent="0.25">
      <c r="A21" s="120"/>
      <c r="B21" s="140" t="s">
        <v>43</v>
      </c>
      <c r="C21" s="21" t="s">
        <v>44</v>
      </c>
      <c r="D21" s="8"/>
      <c r="E21" s="14"/>
      <c r="F21" s="2"/>
      <c r="G21" s="4">
        <v>42064</v>
      </c>
      <c r="H21" s="4">
        <v>42431</v>
      </c>
      <c r="I21" s="26" t="str">
        <f t="shared" si="0"/>
        <v>1  AN(S)</v>
      </c>
      <c r="J21" s="5" t="s">
        <v>5</v>
      </c>
      <c r="K21" s="93" t="str">
        <f t="shared" si="1"/>
        <v>-  AN(S)</v>
      </c>
      <c r="L21" s="92">
        <v>135</v>
      </c>
      <c r="M21" s="92">
        <v>135</v>
      </c>
      <c r="N21" s="24"/>
    </row>
    <row r="22" spans="1:16" ht="18.75" x14ac:dyDescent="0.25">
      <c r="A22" s="120"/>
      <c r="B22" s="140"/>
      <c r="C22" s="21" t="s">
        <v>45</v>
      </c>
      <c r="D22" s="8"/>
      <c r="E22" s="8"/>
      <c r="F22" s="14"/>
      <c r="G22" s="4">
        <v>42431</v>
      </c>
      <c r="H22" s="4">
        <v>44105</v>
      </c>
      <c r="I22" s="26" t="str">
        <f t="shared" si="0"/>
        <v>4  AN(S)</v>
      </c>
      <c r="J22" s="5">
        <v>45748</v>
      </c>
      <c r="K22" s="93" t="str">
        <f t="shared" si="1"/>
        <v>4  AN(S)</v>
      </c>
      <c r="L22" s="92">
        <v>76</v>
      </c>
      <c r="M22" s="92">
        <v>76</v>
      </c>
      <c r="N22" s="24" t="s">
        <v>32</v>
      </c>
    </row>
    <row r="23" spans="1:16" ht="18.75" x14ac:dyDescent="0.25">
      <c r="A23" s="120"/>
      <c r="B23" s="140"/>
      <c r="C23" s="21" t="s">
        <v>46</v>
      </c>
      <c r="D23" s="16"/>
      <c r="E23" s="11"/>
      <c r="F23" s="11"/>
      <c r="G23" s="18">
        <v>45474</v>
      </c>
      <c r="H23" s="6" t="s">
        <v>6</v>
      </c>
      <c r="I23" s="22" t="str">
        <f t="shared" si="0"/>
        <v>-  AN(S)</v>
      </c>
      <c r="J23" s="5" t="s">
        <v>5</v>
      </c>
      <c r="K23" s="93" t="str">
        <f t="shared" si="1"/>
        <v>-  AN(S)</v>
      </c>
      <c r="L23" s="92">
        <v>27</v>
      </c>
      <c r="M23" s="92">
        <v>27</v>
      </c>
      <c r="N23" s="24"/>
    </row>
    <row r="24" spans="1:16" ht="18.75" x14ac:dyDescent="0.25">
      <c r="A24" s="120"/>
      <c r="B24" s="140"/>
      <c r="C24" s="66" t="s">
        <v>23</v>
      </c>
      <c r="D24" s="8"/>
      <c r="E24" s="8"/>
      <c r="F24" s="14"/>
      <c r="G24" s="4">
        <v>44804</v>
      </c>
      <c r="H24" s="4">
        <v>45536</v>
      </c>
      <c r="I24" s="26" t="str">
        <f t="shared" si="0"/>
        <v>2  AN(S)</v>
      </c>
      <c r="J24" s="65">
        <v>46752</v>
      </c>
      <c r="K24" s="93" t="str">
        <f t="shared" si="1"/>
        <v>3  AN(S)</v>
      </c>
      <c r="L24" s="92">
        <v>36</v>
      </c>
      <c r="M24" s="92">
        <v>36</v>
      </c>
      <c r="N24" s="24" t="s">
        <v>63</v>
      </c>
    </row>
    <row r="25" spans="1:16" ht="18.75" x14ac:dyDescent="0.25">
      <c r="A25" s="120"/>
      <c r="B25" s="140"/>
      <c r="C25" s="21" t="s">
        <v>24</v>
      </c>
      <c r="D25" s="8"/>
      <c r="E25" s="14"/>
      <c r="F25" s="2"/>
      <c r="G25" s="4">
        <v>45170</v>
      </c>
      <c r="H25" s="4">
        <v>45537</v>
      </c>
      <c r="I25" s="26" t="str">
        <f t="shared" si="0"/>
        <v>1  AN(S)</v>
      </c>
      <c r="J25" s="5">
        <v>47118</v>
      </c>
      <c r="K25" s="93" t="str">
        <f t="shared" si="1"/>
        <v>4  AN(S)</v>
      </c>
      <c r="L25" s="92">
        <v>22</v>
      </c>
      <c r="M25" s="92">
        <v>22</v>
      </c>
      <c r="N25" s="24" t="s">
        <v>64</v>
      </c>
    </row>
    <row r="26" spans="1:16" ht="18.75" x14ac:dyDescent="0.25">
      <c r="A26" s="120"/>
      <c r="B26" s="140" t="s">
        <v>7</v>
      </c>
      <c r="C26" s="21" t="s">
        <v>11</v>
      </c>
      <c r="D26" s="2"/>
      <c r="E26" s="2"/>
      <c r="F26" s="14"/>
      <c r="G26" s="4">
        <v>39448</v>
      </c>
      <c r="H26" s="4">
        <v>41820</v>
      </c>
      <c r="I26" s="22" t="str">
        <f>IF(H26="EN COURS","-",DATEDIF(G26,H26,"y"))&amp;"  AN(S)"</f>
        <v>6  AN(S)</v>
      </c>
      <c r="J26" s="5">
        <v>43465</v>
      </c>
      <c r="K26" s="93" t="str">
        <f t="shared" si="1"/>
        <v>4  AN(S)</v>
      </c>
      <c r="L26" s="92">
        <v>51</v>
      </c>
      <c r="M26" s="92">
        <v>51</v>
      </c>
      <c r="N26" s="24"/>
      <c r="P26" s="28"/>
    </row>
    <row r="27" spans="1:16" ht="18.75" x14ac:dyDescent="0.25">
      <c r="A27" s="120"/>
      <c r="B27" s="140"/>
      <c r="C27" s="21" t="s">
        <v>26</v>
      </c>
      <c r="D27" s="14"/>
      <c r="E27" s="2"/>
      <c r="F27" s="2"/>
      <c r="G27" s="4">
        <v>41821</v>
      </c>
      <c r="H27" s="6" t="s">
        <v>6</v>
      </c>
      <c r="I27" s="22" t="str">
        <f>IF(H27="EN COURS","-",DATEDIF(G27,H27,"y"))&amp;"  AN(S)"</f>
        <v>-  AN(S)</v>
      </c>
      <c r="J27" s="5" t="s">
        <v>5</v>
      </c>
      <c r="K27" s="93" t="str">
        <f t="shared" si="1"/>
        <v>-  AN(S)</v>
      </c>
      <c r="L27" s="92">
        <v>234</v>
      </c>
      <c r="M27" s="92">
        <v>238</v>
      </c>
      <c r="N27" s="24"/>
    </row>
    <row r="28" spans="1:16" ht="18.75" x14ac:dyDescent="0.25">
      <c r="A28" s="120"/>
      <c r="B28" s="140"/>
      <c r="C28" s="21" t="s">
        <v>47</v>
      </c>
      <c r="D28" s="14"/>
      <c r="E28" s="2"/>
      <c r="F28" s="2"/>
      <c r="G28" s="4">
        <v>44378</v>
      </c>
      <c r="H28" s="6" t="s">
        <v>6</v>
      </c>
      <c r="I28" s="22" t="str">
        <f>IF(H28="EN COURS","-",DATEDIF(G28,H28,"y"))&amp;"  AN(S)"</f>
        <v>-  AN(S)</v>
      </c>
      <c r="J28" s="5" t="s">
        <v>5</v>
      </c>
      <c r="K28" s="93" t="str">
        <f t="shared" si="1"/>
        <v>-  AN(S)</v>
      </c>
      <c r="L28" s="92">
        <v>13</v>
      </c>
      <c r="M28" s="92">
        <v>13</v>
      </c>
      <c r="N28" s="24"/>
    </row>
    <row r="29" spans="1:16" ht="18.75" x14ac:dyDescent="0.25">
      <c r="A29" s="120"/>
      <c r="B29" s="140" t="s">
        <v>8</v>
      </c>
      <c r="C29" s="21" t="s">
        <v>9</v>
      </c>
      <c r="D29" s="2"/>
      <c r="E29" s="8"/>
      <c r="F29" s="14"/>
      <c r="G29" s="4">
        <v>39114</v>
      </c>
      <c r="H29" s="4">
        <v>42248</v>
      </c>
      <c r="I29" s="26" t="str">
        <f t="shared" ref="I29:I33" si="2">IF(H29="EN COURS","-",DATEDIF(G29,H29,"y"))&amp;"  AN(S)"</f>
        <v>8  AN(S)</v>
      </c>
      <c r="J29" s="5">
        <v>43465</v>
      </c>
      <c r="K29" s="93" t="str">
        <f t="shared" si="1"/>
        <v>3  AN(S)</v>
      </c>
      <c r="L29" s="92">
        <v>116</v>
      </c>
      <c r="M29" s="92">
        <v>449</v>
      </c>
      <c r="N29" s="24"/>
    </row>
    <row r="30" spans="1:16" ht="18.75" x14ac:dyDescent="0.25">
      <c r="A30" s="120"/>
      <c r="B30" s="140"/>
      <c r="C30" s="21" t="s">
        <v>10</v>
      </c>
      <c r="D30" s="2"/>
      <c r="E30" s="8"/>
      <c r="F30" s="14"/>
      <c r="G30" s="4">
        <v>39114</v>
      </c>
      <c r="H30" s="4">
        <v>42248</v>
      </c>
      <c r="I30" s="22" t="str">
        <f>IF(H30="EN COURS","-",DATEDIF(G30,H30,"y"))&amp;"  AN(S)"</f>
        <v>8  AN(S)</v>
      </c>
      <c r="J30" s="5">
        <v>43465</v>
      </c>
      <c r="K30" s="93" t="str">
        <f t="shared" si="1"/>
        <v>3  AN(S)</v>
      </c>
      <c r="L30" s="92" t="s">
        <v>5</v>
      </c>
      <c r="M30" s="92" t="s">
        <v>5</v>
      </c>
      <c r="N30" s="24"/>
    </row>
    <row r="31" spans="1:16" ht="18.75" x14ac:dyDescent="0.25">
      <c r="A31" s="120"/>
      <c r="B31" s="140"/>
      <c r="C31" s="66" t="s">
        <v>48</v>
      </c>
      <c r="D31" s="2"/>
      <c r="E31" s="14"/>
      <c r="F31" s="7"/>
      <c r="G31" s="4">
        <v>43101</v>
      </c>
      <c r="H31" s="4">
        <v>45175</v>
      </c>
      <c r="I31" s="26" t="str">
        <f t="shared" si="2"/>
        <v>5  AN(S)</v>
      </c>
      <c r="J31" s="65">
        <v>46752</v>
      </c>
      <c r="K31" s="93" t="str">
        <f t="shared" si="1"/>
        <v>4  AN(S)</v>
      </c>
      <c r="L31" s="92" t="s">
        <v>5</v>
      </c>
      <c r="M31" s="92" t="s">
        <v>5</v>
      </c>
      <c r="N31" s="24" t="s">
        <v>63</v>
      </c>
    </row>
    <row r="32" spans="1:16" ht="18.75" x14ac:dyDescent="0.25">
      <c r="A32" s="120"/>
      <c r="B32" s="140"/>
      <c r="C32" s="21" t="s">
        <v>49</v>
      </c>
      <c r="D32" s="2"/>
      <c r="E32" s="8"/>
      <c r="F32" s="14"/>
      <c r="G32" s="4">
        <v>45175</v>
      </c>
      <c r="H32" s="4">
        <v>45845</v>
      </c>
      <c r="I32" s="26" t="str">
        <f t="shared" si="2"/>
        <v>1  AN(S)</v>
      </c>
      <c r="J32" s="5" t="s">
        <v>5</v>
      </c>
      <c r="K32" s="93" t="str">
        <f t="shared" si="1"/>
        <v>-  AN(S)</v>
      </c>
      <c r="L32" s="92" t="s">
        <v>5</v>
      </c>
      <c r="M32" s="92" t="s">
        <v>5</v>
      </c>
      <c r="N32" s="24" t="s">
        <v>50</v>
      </c>
    </row>
    <row r="33" spans="1:14" ht="33.75" x14ac:dyDescent="0.25">
      <c r="A33" s="120"/>
      <c r="B33" s="140"/>
      <c r="C33" s="66" t="s">
        <v>51</v>
      </c>
      <c r="D33" s="8"/>
      <c r="E33" s="8"/>
      <c r="F33" s="14"/>
      <c r="G33" s="4">
        <v>42248</v>
      </c>
      <c r="H33" s="4">
        <v>45845</v>
      </c>
      <c r="I33" s="22" t="str">
        <f t="shared" si="2"/>
        <v>9  AN(S)</v>
      </c>
      <c r="J33" s="65">
        <v>46752</v>
      </c>
      <c r="K33" s="93" t="str">
        <f t="shared" si="1"/>
        <v>2  AN(S)</v>
      </c>
      <c r="L33" s="92">
        <v>337</v>
      </c>
      <c r="M33" s="92">
        <v>1833</v>
      </c>
      <c r="N33" s="24" t="s">
        <v>63</v>
      </c>
    </row>
    <row r="34" spans="1:14" ht="18.75" x14ac:dyDescent="0.25">
      <c r="A34" s="120"/>
      <c r="B34" s="140"/>
      <c r="C34" s="21" t="s">
        <v>52</v>
      </c>
      <c r="D34" s="14"/>
      <c r="E34" s="2"/>
      <c r="F34" s="2"/>
      <c r="G34" s="4">
        <v>42248</v>
      </c>
      <c r="H34" s="4">
        <v>45845</v>
      </c>
      <c r="I34" s="22" t="str">
        <f>IF(H34="EN COURS","-",DATEDIF(G34,H34,"y"))&amp;"  AN(S)"</f>
        <v>9  AN(S)</v>
      </c>
      <c r="J34" s="5" t="s">
        <v>5</v>
      </c>
      <c r="K34" s="93" t="str">
        <f t="shared" si="1"/>
        <v>-  AN(S)</v>
      </c>
      <c r="L34" s="92">
        <v>171</v>
      </c>
      <c r="M34" s="92">
        <v>299</v>
      </c>
      <c r="N34" s="24"/>
    </row>
    <row r="35" spans="1:14" ht="18.75" x14ac:dyDescent="0.25">
      <c r="A35" s="120"/>
      <c r="B35" s="140"/>
      <c r="C35" s="21" t="s">
        <v>53</v>
      </c>
      <c r="D35" s="14"/>
      <c r="E35" s="2"/>
      <c r="F35" s="2"/>
      <c r="G35" s="4">
        <v>44805</v>
      </c>
      <c r="H35" s="6" t="s">
        <v>6</v>
      </c>
      <c r="I35" s="22" t="str">
        <f t="shared" ref="I35:I36" si="3">IF(H35="EN COURS","-",DATEDIF(G35,H35,"y"))&amp;"  AN(S)"</f>
        <v>-  AN(S)</v>
      </c>
      <c r="J35" s="5" t="s">
        <v>5</v>
      </c>
      <c r="K35" s="93" t="str">
        <f t="shared" si="1"/>
        <v>-  AN(S)</v>
      </c>
      <c r="L35" s="92">
        <v>110</v>
      </c>
      <c r="M35" s="92">
        <v>248</v>
      </c>
      <c r="N35" s="24"/>
    </row>
    <row r="36" spans="1:14" ht="18.75" x14ac:dyDescent="0.25">
      <c r="A36" s="120"/>
      <c r="B36" s="140"/>
      <c r="C36" s="21" t="s">
        <v>54</v>
      </c>
      <c r="D36" s="14"/>
      <c r="E36" s="2"/>
      <c r="F36" s="2"/>
      <c r="G36" s="4">
        <v>45845</v>
      </c>
      <c r="H36" s="6" t="s">
        <v>6</v>
      </c>
      <c r="I36" s="22" t="str">
        <f t="shared" si="3"/>
        <v>-  AN(S)</v>
      </c>
      <c r="J36" s="5" t="s">
        <v>5</v>
      </c>
      <c r="K36" s="93" t="str">
        <f t="shared" si="1"/>
        <v>-  AN(S)</v>
      </c>
      <c r="L36" s="92">
        <v>33</v>
      </c>
      <c r="M36" s="92">
        <v>196</v>
      </c>
      <c r="N36" s="23"/>
    </row>
    <row r="37" spans="1:14" ht="18.75" x14ac:dyDescent="0.25">
      <c r="A37" s="120"/>
      <c r="B37" s="140"/>
      <c r="C37" s="21" t="s">
        <v>25</v>
      </c>
      <c r="D37" s="14"/>
      <c r="E37" s="2"/>
      <c r="F37" s="2"/>
      <c r="G37" s="4">
        <v>45845</v>
      </c>
      <c r="H37" s="6" t="s">
        <v>6</v>
      </c>
      <c r="I37" s="22" t="str">
        <f>IF(H37="EN COURS","-",DATEDIF(G37,H37,"y"))&amp;"  AN(S)"</f>
        <v>-  AN(S)</v>
      </c>
      <c r="J37" s="5" t="s">
        <v>5</v>
      </c>
      <c r="K37" s="93" t="str">
        <f t="shared" si="1"/>
        <v>-  AN(S)</v>
      </c>
      <c r="L37" s="92">
        <v>14</v>
      </c>
      <c r="M37" s="92">
        <v>34</v>
      </c>
      <c r="N37" s="23"/>
    </row>
    <row r="38" spans="1:14" ht="18.75" x14ac:dyDescent="0.25">
      <c r="A38" s="120"/>
      <c r="B38" s="20" t="s">
        <v>55</v>
      </c>
      <c r="C38" s="21" t="s">
        <v>56</v>
      </c>
      <c r="D38" s="15"/>
      <c r="E38" s="10"/>
      <c r="F38" s="9"/>
      <c r="G38" s="4">
        <v>43466</v>
      </c>
      <c r="H38" s="6" t="s">
        <v>6</v>
      </c>
      <c r="I38" s="26" t="str">
        <f t="shared" ref="I38" si="4">IF(H38="EN COURS","-",DATEDIF(G38,H38,"y"))&amp;"  AN(S)"</f>
        <v>-  AN(S)</v>
      </c>
      <c r="J38" s="5" t="s">
        <v>5</v>
      </c>
      <c r="K38" s="93" t="str">
        <f t="shared" si="1"/>
        <v>-  AN(S)</v>
      </c>
      <c r="L38" s="92">
        <v>334</v>
      </c>
      <c r="M38" s="92">
        <v>335</v>
      </c>
      <c r="N38" s="23"/>
    </row>
    <row r="39" spans="1:14" ht="18.75" x14ac:dyDescent="0.25">
      <c r="A39" s="120"/>
      <c r="B39" s="20" t="s">
        <v>57</v>
      </c>
      <c r="C39" s="21" t="s">
        <v>58</v>
      </c>
      <c r="D39" s="15"/>
      <c r="E39" s="8"/>
      <c r="F39" s="8"/>
      <c r="G39" s="4">
        <v>44760</v>
      </c>
      <c r="H39" s="6" t="s">
        <v>6</v>
      </c>
      <c r="I39" s="26" t="str">
        <f t="shared" si="0"/>
        <v>-  AN(S)</v>
      </c>
      <c r="J39" s="5" t="s">
        <v>5</v>
      </c>
      <c r="K39" s="93" t="str">
        <f t="shared" si="1"/>
        <v>-  AN(S)</v>
      </c>
      <c r="L39" s="92">
        <v>10</v>
      </c>
      <c r="M39" s="92">
        <v>10</v>
      </c>
      <c r="N39" s="23"/>
    </row>
    <row r="40" spans="1:14" ht="18.75" x14ac:dyDescent="0.25">
      <c r="A40" s="120"/>
      <c r="B40" s="133" t="s">
        <v>59</v>
      </c>
      <c r="C40" s="21" t="s">
        <v>28</v>
      </c>
      <c r="D40" s="14"/>
      <c r="E40" s="2"/>
      <c r="F40" s="2"/>
      <c r="G40" s="4">
        <v>45748</v>
      </c>
      <c r="H40" s="6" t="s">
        <v>6</v>
      </c>
      <c r="I40" s="26" t="str">
        <f t="shared" si="0"/>
        <v>-  AN(S)</v>
      </c>
      <c r="J40" s="5" t="s">
        <v>5</v>
      </c>
      <c r="K40" s="93" t="str">
        <f t="shared" si="1"/>
        <v>-  AN(S)</v>
      </c>
      <c r="L40" s="92">
        <v>17</v>
      </c>
      <c r="M40" s="92">
        <v>29</v>
      </c>
      <c r="N40" s="23"/>
    </row>
    <row r="41" spans="1:14" ht="18.75" x14ac:dyDescent="0.25">
      <c r="A41" s="120"/>
      <c r="B41" s="133"/>
      <c r="C41" s="21" t="s">
        <v>60</v>
      </c>
      <c r="D41" s="8"/>
      <c r="E41" s="14"/>
      <c r="F41" s="2"/>
      <c r="G41" s="12">
        <v>43466</v>
      </c>
      <c r="H41" s="6" t="s">
        <v>6</v>
      </c>
      <c r="I41" s="22" t="str">
        <f t="shared" si="0"/>
        <v>-  AN(S)</v>
      </c>
      <c r="J41" s="5" t="s">
        <v>5</v>
      </c>
      <c r="K41" s="93" t="str">
        <f t="shared" si="1"/>
        <v>-  AN(S)</v>
      </c>
      <c r="L41" s="92">
        <v>5</v>
      </c>
      <c r="M41" s="92">
        <v>5</v>
      </c>
      <c r="N41" s="23"/>
    </row>
    <row r="42" spans="1:14" ht="19.5" thickBot="1" x14ac:dyDescent="0.3">
      <c r="A42" s="121"/>
      <c r="B42" s="27" t="s">
        <v>61</v>
      </c>
      <c r="C42" s="21" t="s">
        <v>27</v>
      </c>
      <c r="D42" s="8"/>
      <c r="E42" s="2"/>
      <c r="F42" s="14"/>
      <c r="G42" s="4">
        <v>43312</v>
      </c>
      <c r="H42" s="12">
        <v>45201</v>
      </c>
      <c r="I42" s="26" t="str">
        <f t="shared" si="0"/>
        <v>5  AN(S)</v>
      </c>
      <c r="J42" s="5">
        <v>46022</v>
      </c>
      <c r="K42" s="93" t="str">
        <f t="shared" si="1"/>
        <v>2  AN(S)</v>
      </c>
      <c r="L42" s="92">
        <v>147</v>
      </c>
      <c r="M42" s="92">
        <v>199</v>
      </c>
      <c r="N42" s="24" t="s">
        <v>32</v>
      </c>
    </row>
    <row r="43" spans="1:14" ht="16.5" thickTop="1" thickBot="1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33" thickTop="1" thickBot="1" x14ac:dyDescent="0.3">
      <c r="A44" s="119" t="s">
        <v>70</v>
      </c>
      <c r="B44" s="134" t="s">
        <v>71</v>
      </c>
      <c r="C44" s="31" t="s">
        <v>72</v>
      </c>
      <c r="D44" s="32"/>
      <c r="E44" s="33"/>
      <c r="F44" s="32"/>
      <c r="G44" s="34">
        <v>43374</v>
      </c>
      <c r="H44" s="6" t="s">
        <v>6</v>
      </c>
      <c r="I44" s="35" t="str">
        <f>IF(H44="EN COURS","-",DATEDIF(G44,H44,"y"))&amp;"  AN(S)"</f>
        <v>-  AN(S)</v>
      </c>
      <c r="J44" s="36" t="s">
        <v>73</v>
      </c>
      <c r="K44" s="105"/>
      <c r="L44" s="87"/>
      <c r="M44" s="87" t="s">
        <v>74</v>
      </c>
      <c r="N44" s="32"/>
    </row>
    <row r="45" spans="1:14" ht="16.5" thickBot="1" x14ac:dyDescent="0.3">
      <c r="A45" s="120"/>
      <c r="B45" s="134"/>
      <c r="C45" s="31" t="s">
        <v>75</v>
      </c>
      <c r="D45" s="32"/>
      <c r="E45" s="33"/>
      <c r="F45" s="32"/>
      <c r="G45" s="34">
        <v>42156</v>
      </c>
      <c r="H45" s="34">
        <v>43404</v>
      </c>
      <c r="I45" s="17" t="str">
        <f t="shared" ref="I45:I51" si="5">IF(H45="EN COURS","-",DATEDIF(G45,H45,"y"))&amp;"  AN(S)"</f>
        <v>3  AN(S)</v>
      </c>
      <c r="J45" s="37" t="s">
        <v>76</v>
      </c>
      <c r="K45" s="94" t="s">
        <v>77</v>
      </c>
      <c r="L45" s="82"/>
      <c r="M45" s="82">
        <v>3</v>
      </c>
      <c r="N45" s="32"/>
    </row>
    <row r="46" spans="1:14" ht="16.5" thickBot="1" x14ac:dyDescent="0.3">
      <c r="A46" s="120"/>
      <c r="B46" s="38" t="s">
        <v>78</v>
      </c>
      <c r="C46" s="31" t="s">
        <v>79</v>
      </c>
      <c r="D46" s="39"/>
      <c r="E46" s="39"/>
      <c r="F46" s="32"/>
      <c r="G46" s="40">
        <v>42217</v>
      </c>
      <c r="H46" s="41" t="s">
        <v>6</v>
      </c>
      <c r="I46" s="17" t="str">
        <f t="shared" si="5"/>
        <v>-  AN(S)</v>
      </c>
      <c r="J46" s="5" t="s">
        <v>5</v>
      </c>
      <c r="K46" s="93" t="str">
        <f>IF(J46="-","-",DATEDIF(H46,J46,"y"))&amp;"  AN(S)"</f>
        <v>-  AN(S)</v>
      </c>
      <c r="L46" s="88"/>
      <c r="M46" s="88"/>
      <c r="N46" s="32"/>
    </row>
    <row r="47" spans="1:14" ht="16.5" thickBot="1" x14ac:dyDescent="0.3">
      <c r="A47" s="120"/>
      <c r="B47" s="135" t="s">
        <v>80</v>
      </c>
      <c r="C47" s="68" t="s">
        <v>81</v>
      </c>
      <c r="D47" s="39"/>
      <c r="E47" s="33"/>
      <c r="F47" s="32"/>
      <c r="G47" s="40">
        <v>42552</v>
      </c>
      <c r="H47" s="40">
        <v>44378</v>
      </c>
      <c r="I47" s="17" t="str">
        <f t="shared" si="5"/>
        <v>5  AN(S)</v>
      </c>
      <c r="J47" s="67" t="s">
        <v>82</v>
      </c>
      <c r="K47" s="94" t="s">
        <v>83</v>
      </c>
      <c r="L47" s="82"/>
      <c r="M47" s="82">
        <v>1804</v>
      </c>
      <c r="N47" s="32"/>
    </row>
    <row r="48" spans="1:14" ht="16.5" thickBot="1" x14ac:dyDescent="0.3">
      <c r="A48" s="120"/>
      <c r="B48" s="135"/>
      <c r="C48" s="31" t="s">
        <v>84</v>
      </c>
      <c r="D48" s="32"/>
      <c r="E48" s="32"/>
      <c r="F48" s="32"/>
      <c r="G48" s="40">
        <v>44348</v>
      </c>
      <c r="H48" s="41" t="s">
        <v>6</v>
      </c>
      <c r="I48" s="17" t="str">
        <f t="shared" si="5"/>
        <v>-  AN(S)</v>
      </c>
      <c r="J48" s="5" t="s">
        <v>5</v>
      </c>
      <c r="K48" s="93" t="str">
        <f>IF(J48="-","-",DATEDIF(H48,J48,"y"))&amp;"  AN(S)"</f>
        <v>-  AN(S)</v>
      </c>
      <c r="L48" s="88"/>
      <c r="M48" s="88"/>
      <c r="N48" s="32"/>
    </row>
    <row r="49" spans="1:14" ht="16.5" thickBot="1" x14ac:dyDescent="0.3">
      <c r="A49" s="120"/>
      <c r="B49" s="135"/>
      <c r="C49" s="31" t="s">
        <v>85</v>
      </c>
      <c r="D49" s="32"/>
      <c r="E49" s="32"/>
      <c r="F49" s="32"/>
      <c r="G49" s="40">
        <v>44378</v>
      </c>
      <c r="H49" s="41" t="s">
        <v>6</v>
      </c>
      <c r="I49" s="17" t="str">
        <f t="shared" si="5"/>
        <v>-  AN(S)</v>
      </c>
      <c r="J49" s="5" t="s">
        <v>5</v>
      </c>
      <c r="K49" s="93" t="str">
        <f>IF(J49="-","-",DATEDIF(H49,J49,"y"))&amp;"  AN(S)"</f>
        <v>-  AN(S)</v>
      </c>
      <c r="L49" s="88"/>
      <c r="M49" s="88"/>
      <c r="N49" s="32"/>
    </row>
    <row r="50" spans="1:14" ht="16.5" thickBot="1" x14ac:dyDescent="0.3">
      <c r="A50" s="120"/>
      <c r="B50" s="135"/>
      <c r="C50" s="31" t="s">
        <v>86</v>
      </c>
      <c r="D50" s="32"/>
      <c r="E50" s="32"/>
      <c r="F50" s="32"/>
      <c r="G50" s="43" t="s">
        <v>87</v>
      </c>
      <c r="H50" s="44" t="s">
        <v>6</v>
      </c>
      <c r="I50" s="17" t="str">
        <f t="shared" si="5"/>
        <v>-  AN(S)</v>
      </c>
      <c r="J50" s="5" t="s">
        <v>5</v>
      </c>
      <c r="K50" s="93" t="str">
        <f>IF(J50="-","-",DATEDIF(H50,J50,"y"))&amp;"  AN(S)"</f>
        <v>-  AN(S)</v>
      </c>
      <c r="L50" s="88"/>
      <c r="M50" s="88">
        <v>367</v>
      </c>
      <c r="N50" s="32"/>
    </row>
    <row r="51" spans="1:14" ht="15.75" thickBot="1" x14ac:dyDescent="0.3">
      <c r="A51" s="120"/>
      <c r="B51" s="135" t="s">
        <v>88</v>
      </c>
      <c r="C51" s="147" t="s">
        <v>89</v>
      </c>
      <c r="D51" s="127"/>
      <c r="E51" s="129"/>
      <c r="F51" s="127"/>
      <c r="G51" s="131">
        <v>42522</v>
      </c>
      <c r="H51" s="132" t="s">
        <v>6</v>
      </c>
      <c r="I51" s="111" t="str">
        <f t="shared" si="5"/>
        <v>-  AN(S)</v>
      </c>
      <c r="J51" s="114" t="s">
        <v>90</v>
      </c>
      <c r="K51" s="116" t="s">
        <v>91</v>
      </c>
      <c r="L51" s="89"/>
      <c r="M51" s="89"/>
      <c r="N51" s="32"/>
    </row>
    <row r="52" spans="1:14" ht="15.75" thickBot="1" x14ac:dyDescent="0.3">
      <c r="A52" s="120"/>
      <c r="B52" s="135"/>
      <c r="C52" s="148"/>
      <c r="D52" s="128"/>
      <c r="E52" s="130"/>
      <c r="F52" s="128"/>
      <c r="G52" s="131"/>
      <c r="H52" s="133"/>
      <c r="I52" s="112"/>
      <c r="J52" s="115"/>
      <c r="K52" s="117"/>
      <c r="L52" s="90"/>
      <c r="M52" s="90"/>
      <c r="N52" s="32"/>
    </row>
    <row r="53" spans="1:14" ht="15.75" thickBot="1" x14ac:dyDescent="0.3">
      <c r="A53" s="121"/>
      <c r="B53" s="146"/>
      <c r="C53" s="148"/>
      <c r="D53" s="128"/>
      <c r="E53" s="130"/>
      <c r="F53" s="128"/>
      <c r="G53" s="131"/>
      <c r="H53" s="133"/>
      <c r="I53" s="113"/>
      <c r="J53" s="115"/>
      <c r="K53" s="118"/>
      <c r="L53" s="91"/>
      <c r="M53" s="91"/>
      <c r="N53" s="32"/>
    </row>
    <row r="54" spans="1:14" ht="16.5" thickTop="1" thickBot="1" x14ac:dyDescent="0.3">
      <c r="K54" s="106"/>
      <c r="L54" s="106"/>
      <c r="M54" s="106"/>
    </row>
    <row r="55" spans="1:14" ht="16.5" thickTop="1" x14ac:dyDescent="0.25">
      <c r="A55" s="119" t="s">
        <v>93</v>
      </c>
      <c r="B55" s="122" t="s">
        <v>94</v>
      </c>
      <c r="C55" s="50" t="s">
        <v>95</v>
      </c>
      <c r="D55" s="14"/>
      <c r="E55" s="7"/>
      <c r="F55" s="51"/>
      <c r="G55" s="51" t="s">
        <v>96</v>
      </c>
      <c r="H55" s="44" t="s">
        <v>6</v>
      </c>
      <c r="I55" s="52" t="str">
        <f>IF(H55="EN COURS","-",DATEDIF(G55,H55,"y"))&amp;"  AN(S)"</f>
        <v>-  AN(S)</v>
      </c>
      <c r="J55" s="53" t="s">
        <v>5</v>
      </c>
      <c r="K55" s="94" t="str">
        <f t="shared" ref="K55:K61" si="6">IF(J55="-","-",DATEDIF(H55,J55,"y"))&amp;"  AN(S)"</f>
        <v>-  AN(S)</v>
      </c>
      <c r="L55" s="82">
        <f>'[2]Base de Données'!$BV$2</f>
        <v>33</v>
      </c>
      <c r="M55" s="83" t="str">
        <f>'[2]Base de Données'!$BW$2</f>
        <v>70</v>
      </c>
      <c r="N55" s="57"/>
    </row>
    <row r="56" spans="1:14" ht="16.5" thickBot="1" x14ac:dyDescent="0.3">
      <c r="A56" s="120"/>
      <c r="B56" s="123"/>
      <c r="C56" s="50" t="s">
        <v>97</v>
      </c>
      <c r="D56" s="14"/>
      <c r="E56" s="7"/>
      <c r="F56" s="51"/>
      <c r="G56" s="51" t="s">
        <v>96</v>
      </c>
      <c r="H56" s="44" t="s">
        <v>6</v>
      </c>
      <c r="I56" s="52" t="str">
        <f t="shared" ref="I56:I61" si="7">IF(H56="EN COURS","-",DATEDIF(G56,H56,"y"))&amp;"  AN(S)"</f>
        <v>-  AN(S)</v>
      </c>
      <c r="J56" s="53" t="s">
        <v>5</v>
      </c>
      <c r="K56" s="94" t="str">
        <f t="shared" si="6"/>
        <v>-  AN(S)</v>
      </c>
      <c r="L56" s="82">
        <f>'[2]Base de Données'!$BV$3</f>
        <v>17</v>
      </c>
      <c r="M56" s="84" t="str">
        <f>'[2]Base de Données'!$BW$3</f>
        <v>26</v>
      </c>
      <c r="N56" s="57"/>
    </row>
    <row r="57" spans="1:14" ht="16.5" thickBot="1" x14ac:dyDescent="0.3">
      <c r="A57" s="120"/>
      <c r="B57" s="59" t="s">
        <v>98</v>
      </c>
      <c r="C57" s="50" t="s">
        <v>99</v>
      </c>
      <c r="D57" s="14"/>
      <c r="E57" s="7"/>
      <c r="F57" s="51"/>
      <c r="G57" s="51">
        <v>44279</v>
      </c>
      <c r="H57" s="44" t="s">
        <v>6</v>
      </c>
      <c r="I57" s="52" t="str">
        <f t="shared" si="7"/>
        <v>-  AN(S)</v>
      </c>
      <c r="J57" s="53" t="s">
        <v>5</v>
      </c>
      <c r="K57" s="94" t="str">
        <f t="shared" si="6"/>
        <v>-  AN(S)</v>
      </c>
      <c r="L57" s="82">
        <f>'[2]Base de Données'!$BV$4</f>
        <v>33</v>
      </c>
      <c r="M57" s="84" t="str">
        <f>'[2]Base de Données'!$BW$4</f>
        <v>33</v>
      </c>
      <c r="N57" s="57"/>
    </row>
    <row r="58" spans="1:14" ht="15.75" x14ac:dyDescent="0.25">
      <c r="A58" s="120"/>
      <c r="B58" s="124" t="s">
        <v>100</v>
      </c>
      <c r="C58" s="50" t="s">
        <v>101</v>
      </c>
      <c r="D58" s="14"/>
      <c r="E58" s="7"/>
      <c r="F58" s="51"/>
      <c r="G58" s="51">
        <v>45392</v>
      </c>
      <c r="H58" s="44" t="s">
        <v>6</v>
      </c>
      <c r="I58" s="52" t="str">
        <f t="shared" si="7"/>
        <v>-  AN(S)</v>
      </c>
      <c r="J58" s="53" t="s">
        <v>5</v>
      </c>
      <c r="K58" s="94" t="str">
        <f t="shared" si="6"/>
        <v>-  AN(S)</v>
      </c>
      <c r="L58" s="85">
        <f>'[2]Base de Données'!$BV$5</f>
        <v>21</v>
      </c>
      <c r="M58" s="86">
        <f>'[2]Base de Données'!$BW$5</f>
        <v>21</v>
      </c>
      <c r="N58" s="57"/>
    </row>
    <row r="59" spans="1:14" ht="15.75" x14ac:dyDescent="0.25">
      <c r="A59" s="120"/>
      <c r="B59" s="125"/>
      <c r="C59" s="50" t="s">
        <v>102</v>
      </c>
      <c r="D59" s="14"/>
      <c r="E59" s="7"/>
      <c r="F59" s="51"/>
      <c r="G59" s="51">
        <v>45097</v>
      </c>
      <c r="H59" s="44" t="s">
        <v>6</v>
      </c>
      <c r="I59" s="52" t="str">
        <f t="shared" si="7"/>
        <v>-  AN(S)</v>
      </c>
      <c r="J59" s="53" t="s">
        <v>5</v>
      </c>
      <c r="K59" s="94" t="str">
        <f t="shared" si="6"/>
        <v>-  AN(S)</v>
      </c>
      <c r="L59" s="85">
        <f>'[2]Base de Données'!$BV$6</f>
        <v>12</v>
      </c>
      <c r="M59" s="86">
        <f>'[2]Base de Données'!$BW$6</f>
        <v>12</v>
      </c>
      <c r="N59" s="57"/>
    </row>
    <row r="60" spans="1:14" ht="16.5" thickBot="1" x14ac:dyDescent="0.3">
      <c r="A60" s="120"/>
      <c r="B60" s="126"/>
      <c r="C60" s="50" t="s">
        <v>103</v>
      </c>
      <c r="D60" s="14"/>
      <c r="E60" s="7"/>
      <c r="F60" s="51"/>
      <c r="G60" s="51">
        <v>43482</v>
      </c>
      <c r="H60" s="44" t="s">
        <v>6</v>
      </c>
      <c r="I60" s="52" t="str">
        <f t="shared" si="7"/>
        <v>-  AN(S)</v>
      </c>
      <c r="J60" s="53" t="s">
        <v>5</v>
      </c>
      <c r="K60" s="94" t="str">
        <f t="shared" si="6"/>
        <v>-  AN(S)</v>
      </c>
      <c r="L60" s="82">
        <f>'[2]Base de Données'!$BV$7</f>
        <v>0</v>
      </c>
      <c r="M60" s="81">
        <f>'[2]Base de Données'!$BW$7</f>
        <v>0</v>
      </c>
      <c r="N60" s="57"/>
    </row>
    <row r="61" spans="1:14" ht="16.5" thickBot="1" x14ac:dyDescent="0.3">
      <c r="A61" s="121"/>
      <c r="B61" s="62" t="s">
        <v>104</v>
      </c>
      <c r="C61" s="50" t="s">
        <v>105</v>
      </c>
      <c r="D61" s="14"/>
      <c r="E61" s="7"/>
      <c r="F61" s="51"/>
      <c r="G61" s="51">
        <v>45189</v>
      </c>
      <c r="H61" s="44" t="s">
        <v>6</v>
      </c>
      <c r="I61" s="52" t="str">
        <f t="shared" si="7"/>
        <v>-  AN(S)</v>
      </c>
      <c r="J61" s="53" t="s">
        <v>5</v>
      </c>
      <c r="K61" s="94" t="str">
        <f t="shared" si="6"/>
        <v>-  AN(S)</v>
      </c>
      <c r="L61" s="82">
        <f>'[2]Base de Données'!$BV$8</f>
        <v>32</v>
      </c>
      <c r="M61" s="81">
        <f>'[2]Base de Données'!$BW$8</f>
        <v>32</v>
      </c>
      <c r="N61" s="57"/>
    </row>
    <row r="62" spans="1:14" ht="16.5" thickTop="1" thickBot="1" x14ac:dyDescent="0.3">
      <c r="K62" s="106"/>
      <c r="L62" s="106"/>
      <c r="M62" s="106"/>
    </row>
    <row r="63" spans="1:14" ht="15.75" thickTop="1" x14ac:dyDescent="0.25">
      <c r="A63" s="108" t="s">
        <v>107</v>
      </c>
      <c r="B63" s="143" t="s">
        <v>108</v>
      </c>
      <c r="C63" s="69" t="s">
        <v>109</v>
      </c>
      <c r="D63" s="70"/>
      <c r="E63" s="14"/>
      <c r="F63" s="72">
        <v>44886</v>
      </c>
      <c r="G63" s="101" t="s">
        <v>110</v>
      </c>
      <c r="H63" s="102" t="s">
        <v>111</v>
      </c>
      <c r="I63" s="3" t="str">
        <f>IF(H63="EN COURS","-",DATEDIF(G63,H63,"y"))&amp;"  AN(S)"</f>
        <v>7  AN(S)</v>
      </c>
      <c r="J63" s="73">
        <v>45616</v>
      </c>
      <c r="K63" s="94" t="str">
        <f>IF(J63="-","-",DATEDIF(H63,J63,"y"))&amp;"  AN(S)"</f>
        <v>0  AN(S)</v>
      </c>
      <c r="L63" s="81">
        <v>110</v>
      </c>
      <c r="M63" s="81">
        <v>110</v>
      </c>
      <c r="N63" s="75"/>
    </row>
    <row r="64" spans="1:14" x14ac:dyDescent="0.25">
      <c r="A64" s="141"/>
      <c r="B64" s="143"/>
      <c r="C64" s="69" t="s">
        <v>112</v>
      </c>
      <c r="D64" s="70"/>
      <c r="E64" s="14"/>
      <c r="F64" s="72">
        <v>44886</v>
      </c>
      <c r="G64" s="101" t="s">
        <v>113</v>
      </c>
      <c r="H64" s="102" t="s">
        <v>111</v>
      </c>
      <c r="I64" s="3" t="str">
        <f t="shared" ref="I64:I73" si="8">IF(H64="EN COURS","-",DATEDIF(G64,H64,"y"))&amp;"  AN(S)"</f>
        <v>7  AN(S)</v>
      </c>
      <c r="J64" s="73">
        <v>45616</v>
      </c>
      <c r="K64" s="94" t="str">
        <f t="shared" ref="K64:K82" si="9">IF(J64="-","-",DATEDIF(H64,J64,"y"))&amp;"  AN(S)"</f>
        <v>0  AN(S)</v>
      </c>
      <c r="L64" s="81">
        <v>90</v>
      </c>
      <c r="M64" s="81">
        <v>90</v>
      </c>
      <c r="N64" s="75"/>
    </row>
    <row r="65" spans="1:14" x14ac:dyDescent="0.25">
      <c r="A65" s="141"/>
      <c r="B65" s="143"/>
      <c r="C65" s="69" t="s">
        <v>114</v>
      </c>
      <c r="D65" s="70"/>
      <c r="E65" s="14"/>
      <c r="F65" s="72">
        <v>43374</v>
      </c>
      <c r="G65" s="101" t="s">
        <v>151</v>
      </c>
      <c r="H65" s="102" t="s">
        <v>116</v>
      </c>
      <c r="I65" s="3" t="str">
        <f t="shared" si="8"/>
        <v>5  AN(S)</v>
      </c>
      <c r="J65" s="73" t="s">
        <v>117</v>
      </c>
      <c r="K65" s="94" t="s">
        <v>118</v>
      </c>
      <c r="L65" s="81">
        <v>5</v>
      </c>
      <c r="M65" s="81">
        <v>5</v>
      </c>
      <c r="N65" s="75"/>
    </row>
    <row r="66" spans="1:14" x14ac:dyDescent="0.25">
      <c r="A66" s="141"/>
      <c r="B66" s="143"/>
      <c r="C66" s="69" t="s">
        <v>119</v>
      </c>
      <c r="D66" s="14"/>
      <c r="E66" s="70" t="s">
        <v>120</v>
      </c>
      <c r="F66" s="72"/>
      <c r="G66" s="101" t="s">
        <v>115</v>
      </c>
      <c r="H66" s="102">
        <v>46231</v>
      </c>
      <c r="I66" s="3" t="str">
        <f t="shared" si="8"/>
        <v>7  AN(S)</v>
      </c>
      <c r="J66" s="73"/>
      <c r="K66" s="94" t="e">
        <f t="shared" si="9"/>
        <v>#NUM!</v>
      </c>
      <c r="L66" s="81">
        <v>21</v>
      </c>
      <c r="M66" s="81">
        <v>21</v>
      </c>
      <c r="N66" s="75"/>
    </row>
    <row r="67" spans="1:14" x14ac:dyDescent="0.25">
      <c r="A67" s="141"/>
      <c r="B67" s="143"/>
      <c r="C67" s="69" t="s">
        <v>121</v>
      </c>
      <c r="D67" s="14"/>
      <c r="E67" s="70"/>
      <c r="F67" s="72"/>
      <c r="G67" s="101"/>
      <c r="H67" s="102"/>
      <c r="I67" s="3"/>
      <c r="J67" s="73"/>
      <c r="K67" s="94"/>
      <c r="L67" s="81">
        <v>46</v>
      </c>
      <c r="M67" s="81">
        <v>46</v>
      </c>
      <c r="N67" s="75"/>
    </row>
    <row r="68" spans="1:14" x14ac:dyDescent="0.25">
      <c r="A68" s="141"/>
      <c r="B68" s="143"/>
      <c r="C68" s="69" t="s">
        <v>122</v>
      </c>
      <c r="D68" s="14"/>
      <c r="E68" s="70"/>
      <c r="F68" s="72"/>
      <c r="G68" s="101" t="s">
        <v>152</v>
      </c>
      <c r="H68" s="102">
        <v>45687</v>
      </c>
      <c r="I68" s="3"/>
      <c r="J68" s="73"/>
      <c r="K68" s="94"/>
      <c r="L68" s="81">
        <v>1</v>
      </c>
      <c r="M68" s="81">
        <v>1</v>
      </c>
      <c r="N68" s="75"/>
    </row>
    <row r="69" spans="1:14" x14ac:dyDescent="0.25">
      <c r="A69" s="141"/>
      <c r="B69" s="143"/>
      <c r="C69" s="69" t="s">
        <v>123</v>
      </c>
      <c r="D69" s="14"/>
      <c r="E69" s="70" t="s">
        <v>120</v>
      </c>
      <c r="F69" s="72">
        <v>45734</v>
      </c>
      <c r="G69" s="101" t="s">
        <v>153</v>
      </c>
      <c r="H69" s="72">
        <v>45734</v>
      </c>
      <c r="I69" s="3" t="str">
        <f t="shared" si="8"/>
        <v>5  AN(S)</v>
      </c>
      <c r="J69" s="73">
        <v>47379</v>
      </c>
      <c r="K69" s="94" t="str">
        <f t="shared" si="9"/>
        <v>4  AN(S)</v>
      </c>
      <c r="L69" s="81">
        <v>255</v>
      </c>
      <c r="M69" s="81">
        <v>255</v>
      </c>
      <c r="N69" s="75"/>
    </row>
    <row r="70" spans="1:14" ht="15.75" x14ac:dyDescent="0.25">
      <c r="A70" s="141"/>
      <c r="B70" s="143"/>
      <c r="C70" s="69" t="s">
        <v>124</v>
      </c>
      <c r="D70" s="14"/>
      <c r="E70" s="70" t="s">
        <v>120</v>
      </c>
      <c r="F70" s="76"/>
      <c r="G70" s="101" t="s">
        <v>154</v>
      </c>
      <c r="H70" s="104" t="s">
        <v>6</v>
      </c>
      <c r="I70" s="3" t="str">
        <f t="shared" si="8"/>
        <v>-  AN(S)</v>
      </c>
      <c r="J70" s="77">
        <v>47570</v>
      </c>
      <c r="K70" s="94" t="s">
        <v>91</v>
      </c>
      <c r="L70" s="81">
        <v>270</v>
      </c>
      <c r="M70" s="81">
        <v>270</v>
      </c>
      <c r="N70" s="75"/>
    </row>
    <row r="71" spans="1:14" ht="15.75" x14ac:dyDescent="0.25">
      <c r="A71" s="141"/>
      <c r="B71" s="143"/>
      <c r="C71" s="69" t="s">
        <v>125</v>
      </c>
      <c r="D71" s="14"/>
      <c r="E71" s="70" t="s">
        <v>120</v>
      </c>
      <c r="F71" s="72">
        <v>47570</v>
      </c>
      <c r="G71" s="101" t="s">
        <v>155</v>
      </c>
      <c r="H71" s="104">
        <v>45744</v>
      </c>
      <c r="I71" s="3" t="str">
        <f t="shared" si="8"/>
        <v>5  AN(S)</v>
      </c>
      <c r="J71" s="77">
        <v>47570</v>
      </c>
      <c r="K71" s="94" t="s">
        <v>91</v>
      </c>
      <c r="L71" s="81">
        <v>32</v>
      </c>
      <c r="M71" s="81">
        <v>32</v>
      </c>
      <c r="N71" s="75"/>
    </row>
    <row r="72" spans="1:14" ht="15.75" x14ac:dyDescent="0.25">
      <c r="A72" s="141"/>
      <c r="B72" s="143"/>
      <c r="C72" s="69" t="s">
        <v>126</v>
      </c>
      <c r="D72" s="14"/>
      <c r="E72" s="70" t="s">
        <v>120</v>
      </c>
      <c r="F72" s="72">
        <v>47570</v>
      </c>
      <c r="G72" s="101" t="s">
        <v>155</v>
      </c>
      <c r="H72" s="104">
        <v>45744</v>
      </c>
      <c r="I72" s="3" t="str">
        <f t="shared" si="8"/>
        <v>5  AN(S)</v>
      </c>
      <c r="J72" s="77">
        <v>47570</v>
      </c>
      <c r="K72" s="94" t="s">
        <v>91</v>
      </c>
      <c r="L72" s="81">
        <v>243</v>
      </c>
      <c r="M72" s="81">
        <v>243</v>
      </c>
      <c r="N72" s="75"/>
    </row>
    <row r="73" spans="1:14" ht="28.5" x14ac:dyDescent="0.25">
      <c r="A73" s="141"/>
      <c r="B73" s="143" t="s">
        <v>127</v>
      </c>
      <c r="C73" s="69" t="s">
        <v>128</v>
      </c>
      <c r="D73" s="70"/>
      <c r="E73" s="14"/>
      <c r="F73" s="78">
        <v>48579</v>
      </c>
      <c r="G73" s="101" t="s">
        <v>129</v>
      </c>
      <c r="H73" s="44" t="s">
        <v>6</v>
      </c>
      <c r="I73" s="3" t="str">
        <f t="shared" si="8"/>
        <v>-  AN(S)</v>
      </c>
      <c r="J73" s="73" t="s">
        <v>130</v>
      </c>
      <c r="K73" s="94" t="s">
        <v>91</v>
      </c>
      <c r="L73" s="81">
        <v>347</v>
      </c>
      <c r="M73" s="81">
        <v>3217</v>
      </c>
      <c r="N73" s="75"/>
    </row>
    <row r="74" spans="1:14" x14ac:dyDescent="0.25">
      <c r="A74" s="141"/>
      <c r="B74" s="143"/>
      <c r="C74" s="69" t="s">
        <v>131</v>
      </c>
      <c r="D74" s="14"/>
      <c r="E74" s="70"/>
      <c r="F74" s="51">
        <v>50405</v>
      </c>
      <c r="G74" s="101" t="s">
        <v>156</v>
      </c>
      <c r="H74" s="103">
        <v>47968</v>
      </c>
      <c r="I74" s="3" t="s">
        <v>132</v>
      </c>
      <c r="J74" s="53" t="s">
        <v>5</v>
      </c>
      <c r="K74" s="94" t="str">
        <f t="shared" si="9"/>
        <v>-  AN(S)</v>
      </c>
      <c r="L74" s="81">
        <v>61</v>
      </c>
      <c r="M74" s="81">
        <v>379</v>
      </c>
      <c r="N74" s="75"/>
    </row>
    <row r="75" spans="1:14" x14ac:dyDescent="0.25">
      <c r="A75" s="141"/>
      <c r="B75" s="143"/>
      <c r="C75" s="69" t="s">
        <v>133</v>
      </c>
      <c r="D75" s="14"/>
      <c r="E75" s="70"/>
      <c r="F75" s="78">
        <v>50405</v>
      </c>
      <c r="G75" s="101" t="s">
        <v>157</v>
      </c>
      <c r="H75" s="102">
        <v>47968</v>
      </c>
      <c r="I75" s="3" t="s">
        <v>132</v>
      </c>
      <c r="J75" s="53" t="s">
        <v>5</v>
      </c>
      <c r="K75" s="94" t="str">
        <f t="shared" si="9"/>
        <v>-  AN(S)</v>
      </c>
      <c r="L75" s="81">
        <v>3</v>
      </c>
      <c r="M75" s="81">
        <v>6</v>
      </c>
      <c r="N75" s="75"/>
    </row>
    <row r="76" spans="1:14" x14ac:dyDescent="0.25">
      <c r="A76" s="141"/>
      <c r="B76" s="143"/>
      <c r="C76" s="69" t="s">
        <v>134</v>
      </c>
      <c r="D76" s="70"/>
      <c r="E76" s="14"/>
      <c r="F76" s="78">
        <v>46752</v>
      </c>
      <c r="G76" s="101" t="s">
        <v>120</v>
      </c>
      <c r="H76" s="102">
        <v>43343</v>
      </c>
      <c r="I76" s="3" t="s">
        <v>132</v>
      </c>
      <c r="J76" s="73">
        <v>45291</v>
      </c>
      <c r="K76" s="94" t="str">
        <f t="shared" si="9"/>
        <v>5  AN(S)</v>
      </c>
      <c r="L76" s="81">
        <v>15</v>
      </c>
      <c r="M76" s="81">
        <v>22</v>
      </c>
      <c r="N76" s="75"/>
    </row>
    <row r="77" spans="1:14" x14ac:dyDescent="0.25">
      <c r="A77" s="141"/>
      <c r="B77" s="143"/>
      <c r="C77" s="69" t="s">
        <v>135</v>
      </c>
      <c r="D77" s="70"/>
      <c r="E77" s="14"/>
      <c r="F77" s="78">
        <v>46752</v>
      </c>
      <c r="G77" s="101" t="s">
        <v>120</v>
      </c>
      <c r="H77" s="102">
        <v>43343</v>
      </c>
      <c r="I77" s="3" t="s">
        <v>132</v>
      </c>
      <c r="J77" s="73">
        <v>43343</v>
      </c>
      <c r="K77" s="94" t="str">
        <f t="shared" si="9"/>
        <v>0  AN(S)</v>
      </c>
      <c r="L77" s="81">
        <v>3</v>
      </c>
      <c r="M77" s="81">
        <v>5</v>
      </c>
      <c r="N77" s="75"/>
    </row>
    <row r="78" spans="1:14" x14ac:dyDescent="0.25">
      <c r="A78" s="141"/>
      <c r="B78" s="143"/>
      <c r="C78" s="69" t="s">
        <v>136</v>
      </c>
      <c r="D78" s="70"/>
      <c r="E78" s="14"/>
      <c r="F78" s="78">
        <v>46752</v>
      </c>
      <c r="G78" s="101" t="s">
        <v>120</v>
      </c>
      <c r="H78" s="102">
        <v>43343</v>
      </c>
      <c r="I78" s="3" t="s">
        <v>132</v>
      </c>
      <c r="J78" s="73">
        <v>43343</v>
      </c>
      <c r="K78" s="94" t="str">
        <f t="shared" si="9"/>
        <v>0  AN(S)</v>
      </c>
      <c r="L78" s="81">
        <v>32</v>
      </c>
      <c r="M78" s="81">
        <v>249</v>
      </c>
      <c r="N78" s="75"/>
    </row>
    <row r="79" spans="1:14" x14ac:dyDescent="0.25">
      <c r="A79" s="141"/>
      <c r="B79" s="143"/>
      <c r="C79" s="69" t="s">
        <v>137</v>
      </c>
      <c r="D79" s="70"/>
      <c r="E79" s="14"/>
      <c r="F79" s="78">
        <v>46387</v>
      </c>
      <c r="G79" s="101" t="s">
        <v>120</v>
      </c>
      <c r="H79" s="102">
        <v>43434</v>
      </c>
      <c r="I79" s="3" t="s">
        <v>132</v>
      </c>
      <c r="J79" s="73">
        <v>45350</v>
      </c>
      <c r="K79" s="94" t="str">
        <f t="shared" si="9"/>
        <v>5  AN(S)</v>
      </c>
      <c r="L79" s="81">
        <v>3</v>
      </c>
      <c r="M79" s="81">
        <v>14</v>
      </c>
      <c r="N79" s="75"/>
    </row>
    <row r="80" spans="1:14" ht="28.5" x14ac:dyDescent="0.25">
      <c r="A80" s="141"/>
      <c r="B80" s="143"/>
      <c r="C80" s="69" t="s">
        <v>138</v>
      </c>
      <c r="D80" s="70"/>
      <c r="E80" s="14"/>
      <c r="F80" s="78">
        <v>48579</v>
      </c>
      <c r="G80" s="101" t="s">
        <v>120</v>
      </c>
      <c r="H80" s="102" t="s">
        <v>139</v>
      </c>
      <c r="I80" s="3" t="s">
        <v>132</v>
      </c>
      <c r="J80" s="73" t="s">
        <v>130</v>
      </c>
      <c r="K80" s="94" t="s">
        <v>91</v>
      </c>
      <c r="L80" s="81">
        <v>18</v>
      </c>
      <c r="M80" s="81">
        <v>20</v>
      </c>
      <c r="N80" s="75"/>
    </row>
    <row r="81" spans="1:14" ht="28.5" x14ac:dyDescent="0.25">
      <c r="A81" s="141"/>
      <c r="B81" s="144"/>
      <c r="C81" s="69" t="s">
        <v>140</v>
      </c>
      <c r="D81" s="70"/>
      <c r="E81" s="14"/>
      <c r="F81" s="78">
        <v>48579</v>
      </c>
      <c r="G81" s="101" t="s">
        <v>120</v>
      </c>
      <c r="H81" s="102" t="s">
        <v>139</v>
      </c>
      <c r="I81" s="3" t="s">
        <v>132</v>
      </c>
      <c r="J81" s="73" t="s">
        <v>130</v>
      </c>
      <c r="K81" s="94" t="s">
        <v>91</v>
      </c>
      <c r="L81" s="81">
        <v>262</v>
      </c>
      <c r="M81" s="81">
        <v>344</v>
      </c>
      <c r="N81" s="75"/>
    </row>
    <row r="82" spans="1:14" ht="15.75" thickBot="1" x14ac:dyDescent="0.3">
      <c r="A82" s="142"/>
      <c r="B82" s="144"/>
      <c r="C82" s="79" t="s">
        <v>141</v>
      </c>
      <c r="D82" s="70"/>
      <c r="E82" s="14"/>
      <c r="F82" s="78">
        <v>45291</v>
      </c>
      <c r="G82" s="101" t="s">
        <v>120</v>
      </c>
      <c r="H82" s="102">
        <v>42673</v>
      </c>
      <c r="I82" s="3" t="s">
        <v>132</v>
      </c>
      <c r="J82" s="53" t="s">
        <v>5</v>
      </c>
      <c r="K82" s="94" t="str">
        <f t="shared" si="9"/>
        <v>-  AN(S)</v>
      </c>
      <c r="L82" s="81">
        <v>22</v>
      </c>
      <c r="M82" s="81">
        <v>80</v>
      </c>
      <c r="N82" s="80" t="s">
        <v>5</v>
      </c>
    </row>
    <row r="83" spans="1:14" ht="15.75" thickBot="1" x14ac:dyDescent="0.3">
      <c r="K83" s="106"/>
      <c r="L83" s="106"/>
      <c r="M83" s="106"/>
    </row>
    <row r="84" spans="1:14" ht="16.5" thickTop="1" thickBot="1" x14ac:dyDescent="0.3">
      <c r="A84" s="108" t="s">
        <v>143</v>
      </c>
      <c r="B84" s="110" t="s">
        <v>127</v>
      </c>
      <c r="C84" s="95" t="s">
        <v>131</v>
      </c>
      <c r="D84" s="98"/>
      <c r="E84" s="17"/>
      <c r="F84" s="99"/>
      <c r="G84" s="101" t="s">
        <v>156</v>
      </c>
      <c r="H84" s="103">
        <v>47968</v>
      </c>
      <c r="I84" s="3" t="s">
        <v>132</v>
      </c>
      <c r="J84" s="5" t="s">
        <v>145</v>
      </c>
      <c r="K84" s="107"/>
      <c r="L84" s="107">
        <v>33</v>
      </c>
      <c r="M84" s="107">
        <v>44</v>
      </c>
      <c r="N84" s="54" t="s">
        <v>146</v>
      </c>
    </row>
    <row r="85" spans="1:14" ht="77.25" customHeight="1" thickBot="1" x14ac:dyDescent="0.3">
      <c r="A85" s="109"/>
      <c r="B85" s="110"/>
      <c r="C85" s="95" t="s">
        <v>147</v>
      </c>
      <c r="D85" s="98"/>
      <c r="E85" s="17"/>
      <c r="F85" s="96" t="s">
        <v>148</v>
      </c>
      <c r="G85" s="3"/>
      <c r="H85" s="100" t="s">
        <v>149</v>
      </c>
      <c r="I85" s="3" t="s">
        <v>132</v>
      </c>
      <c r="J85" s="5">
        <v>48121</v>
      </c>
      <c r="K85" s="107" t="s">
        <v>150</v>
      </c>
      <c r="L85" s="107">
        <v>33</v>
      </c>
      <c r="M85" s="107">
        <v>317</v>
      </c>
      <c r="N85" s="54"/>
    </row>
    <row r="86" spans="1:14" ht="15.75" thickTop="1" x14ac:dyDescent="0.25"/>
  </sheetData>
  <mergeCells count="32">
    <mergeCell ref="A63:A82"/>
    <mergeCell ref="B63:B72"/>
    <mergeCell ref="B73:B82"/>
    <mergeCell ref="B4:B5"/>
    <mergeCell ref="C4:C5"/>
    <mergeCell ref="B51:B53"/>
    <mergeCell ref="C51:C53"/>
    <mergeCell ref="D4:F4"/>
    <mergeCell ref="G4:N4"/>
    <mergeCell ref="A6:A42"/>
    <mergeCell ref="B40:B41"/>
    <mergeCell ref="B6:B11"/>
    <mergeCell ref="B12:B20"/>
    <mergeCell ref="B21:B25"/>
    <mergeCell ref="B26:B28"/>
    <mergeCell ref="B29:B37"/>
    <mergeCell ref="A84:A85"/>
    <mergeCell ref="B84:B85"/>
    <mergeCell ref="I51:I53"/>
    <mergeCell ref="J51:J53"/>
    <mergeCell ref="K51:K53"/>
    <mergeCell ref="A55:A61"/>
    <mergeCell ref="B55:B56"/>
    <mergeCell ref="B58:B60"/>
    <mergeCell ref="D51:D53"/>
    <mergeCell ref="E51:E53"/>
    <mergeCell ref="F51:F53"/>
    <mergeCell ref="G51:G53"/>
    <mergeCell ref="H51:H53"/>
    <mergeCell ref="A44:A53"/>
    <mergeCell ref="B44:B45"/>
    <mergeCell ref="B47:B50"/>
  </mergeCells>
  <phoneticPr fontId="13" type="noConversion"/>
  <conditionalFormatting sqref="D16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8D46-5F13-43D1-9E1B-A8C36A8D4818}">
  <dimension ref="A4:P43"/>
  <sheetViews>
    <sheetView zoomScale="80" zoomScaleNormal="8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M33" sqref="M33"/>
    </sheetView>
  </sheetViews>
  <sheetFormatPr baseColWidth="10" defaultRowHeight="15" x14ac:dyDescent="0.25"/>
  <cols>
    <col min="2" max="2" width="25.140625" customWidth="1"/>
    <col min="3" max="3" width="72" customWidth="1"/>
    <col min="4" max="4" width="15.42578125" customWidth="1"/>
    <col min="5" max="5" width="13.85546875" customWidth="1"/>
    <col min="6" max="6" width="14.5703125" customWidth="1"/>
    <col min="7" max="7" width="14.7109375" customWidth="1"/>
    <col min="8" max="8" width="17.5703125" customWidth="1"/>
    <col min="9" max="9" width="29.140625" customWidth="1"/>
    <col min="10" max="10" width="34.28515625" customWidth="1"/>
    <col min="11" max="11" width="20.7109375" customWidth="1"/>
    <col min="12" max="12" width="22.85546875" customWidth="1"/>
    <col min="13" max="13" width="24.28515625" customWidth="1"/>
    <col min="14" max="14" width="142.28515625" customWidth="1"/>
  </cols>
  <sheetData>
    <row r="4" spans="1:14" ht="18.75" x14ac:dyDescent="0.25">
      <c r="B4" s="145" t="s">
        <v>0</v>
      </c>
      <c r="C4" s="145" t="s">
        <v>12</v>
      </c>
      <c r="D4" s="136" t="s">
        <v>1</v>
      </c>
      <c r="E4" s="136"/>
      <c r="F4" s="136"/>
      <c r="G4" s="137" t="s">
        <v>13</v>
      </c>
      <c r="H4" s="138"/>
      <c r="I4" s="138"/>
      <c r="J4" s="138"/>
      <c r="K4" s="138"/>
      <c r="L4" s="138"/>
      <c r="M4" s="138"/>
      <c r="N4" s="139"/>
    </row>
    <row r="5" spans="1:14" ht="75.75" thickBot="1" x14ac:dyDescent="0.3">
      <c r="B5" s="145"/>
      <c r="C5" s="145"/>
      <c r="D5" s="29" t="s">
        <v>2</v>
      </c>
      <c r="E5" s="29" t="s">
        <v>16</v>
      </c>
      <c r="F5" s="29" t="s">
        <v>3</v>
      </c>
      <c r="G5" s="19" t="s">
        <v>14</v>
      </c>
      <c r="H5" s="19" t="s">
        <v>15</v>
      </c>
      <c r="I5" s="19" t="s">
        <v>67</v>
      </c>
      <c r="J5" s="19" t="s">
        <v>17</v>
      </c>
      <c r="K5" s="19" t="s">
        <v>68</v>
      </c>
      <c r="L5" s="19" t="s">
        <v>65</v>
      </c>
      <c r="M5" s="19" t="s">
        <v>66</v>
      </c>
      <c r="N5" s="19" t="s">
        <v>62</v>
      </c>
    </row>
    <row r="6" spans="1:14" ht="18" customHeight="1" thickTop="1" x14ac:dyDescent="0.25">
      <c r="A6" s="119" t="s">
        <v>29</v>
      </c>
      <c r="B6" s="140" t="s">
        <v>30</v>
      </c>
      <c r="C6" s="21" t="s">
        <v>19</v>
      </c>
      <c r="D6" s="2"/>
      <c r="E6" s="8"/>
      <c r="F6" s="14"/>
      <c r="G6" s="4">
        <v>43739</v>
      </c>
      <c r="H6" s="4">
        <v>44622</v>
      </c>
      <c r="I6" s="22" t="str">
        <f t="shared" ref="I6:I42" si="0">IF(H6="EN COURS","-",DATEDIF(G6,H6,"y"))&amp;"  AN(S)"</f>
        <v>2  AN(S)</v>
      </c>
      <c r="J6" s="5" t="s">
        <v>5</v>
      </c>
      <c r="K6" s="17" t="str">
        <f>IF(J6="-","-",DATEDIF(J6,H6,"y"))&amp;"  AN(S)"</f>
        <v>-  AN(S)</v>
      </c>
      <c r="L6" s="30">
        <v>50</v>
      </c>
      <c r="M6" s="30">
        <v>336</v>
      </c>
      <c r="N6" s="23"/>
    </row>
    <row r="7" spans="1:14" ht="18" customHeight="1" x14ac:dyDescent="0.25">
      <c r="A7" s="120"/>
      <c r="B7" s="140"/>
      <c r="C7" s="21" t="s">
        <v>31</v>
      </c>
      <c r="D7" s="8"/>
      <c r="E7" s="8"/>
      <c r="F7" s="14"/>
      <c r="G7" s="4">
        <v>42531</v>
      </c>
      <c r="H7" s="4">
        <v>43830</v>
      </c>
      <c r="I7" s="22" t="str">
        <f t="shared" si="0"/>
        <v>3  AN(S)</v>
      </c>
      <c r="J7" s="5">
        <v>46022</v>
      </c>
      <c r="K7" s="17" t="str">
        <f>IF(J7="-","-",DATEDIF(H7,J7,"y"))&amp;"  AN(S)"</f>
        <v>6  AN(S)</v>
      </c>
      <c r="L7" s="30">
        <v>22</v>
      </c>
      <c r="M7" s="30">
        <v>145</v>
      </c>
      <c r="N7" s="24" t="s">
        <v>32</v>
      </c>
    </row>
    <row r="8" spans="1:14" ht="18" customHeight="1" x14ac:dyDescent="0.25">
      <c r="A8" s="120"/>
      <c r="B8" s="140"/>
      <c r="C8" s="21" t="s">
        <v>33</v>
      </c>
      <c r="D8" s="8"/>
      <c r="E8" s="14"/>
      <c r="F8" s="8"/>
      <c r="G8" s="4">
        <v>43647</v>
      </c>
      <c r="H8" s="4">
        <v>44735</v>
      </c>
      <c r="I8" s="22" t="str">
        <f t="shared" si="0"/>
        <v>2  AN(S)</v>
      </c>
      <c r="J8" s="5" t="s">
        <v>5</v>
      </c>
      <c r="K8" s="17" t="str">
        <f t="shared" ref="K8:K42" si="1">IF(J8="-","-",DATEDIF(H8,J8,"y"))&amp;"  AN(S)"</f>
        <v>-  AN(S)</v>
      </c>
      <c r="L8" s="30">
        <v>58</v>
      </c>
      <c r="M8" s="30">
        <v>382</v>
      </c>
      <c r="N8" s="25"/>
    </row>
    <row r="9" spans="1:14" ht="18" customHeight="1" x14ac:dyDescent="0.25">
      <c r="A9" s="120"/>
      <c r="B9" s="140"/>
      <c r="C9" s="21" t="s">
        <v>34</v>
      </c>
      <c r="D9" s="14"/>
      <c r="E9" s="2"/>
      <c r="F9" s="8"/>
      <c r="G9" s="4">
        <v>44635</v>
      </c>
      <c r="H9" s="6" t="s">
        <v>6</v>
      </c>
      <c r="I9" s="22" t="str">
        <f t="shared" si="0"/>
        <v>-  AN(S)</v>
      </c>
      <c r="J9" s="5" t="s">
        <v>5</v>
      </c>
      <c r="K9" s="17" t="str">
        <f t="shared" si="1"/>
        <v>-  AN(S)</v>
      </c>
      <c r="L9" s="30">
        <v>137</v>
      </c>
      <c r="M9" s="30">
        <v>988</v>
      </c>
      <c r="N9" s="25"/>
    </row>
    <row r="10" spans="1:14" ht="18" customHeight="1" x14ac:dyDescent="0.25">
      <c r="A10" s="120"/>
      <c r="B10" s="140"/>
      <c r="C10" s="21" t="s">
        <v>35</v>
      </c>
      <c r="D10" s="15"/>
      <c r="E10" s="10"/>
      <c r="F10" s="9"/>
      <c r="G10" s="4">
        <v>44577</v>
      </c>
      <c r="H10" s="6" t="s">
        <v>6</v>
      </c>
      <c r="I10" s="26" t="str">
        <f t="shared" si="0"/>
        <v>-  AN(S)</v>
      </c>
      <c r="J10" s="5" t="s">
        <v>5</v>
      </c>
      <c r="K10" s="17" t="str">
        <f t="shared" si="1"/>
        <v>-  AN(S)</v>
      </c>
      <c r="L10" s="30">
        <v>120</v>
      </c>
      <c r="M10" s="30">
        <v>848</v>
      </c>
      <c r="N10" s="23"/>
    </row>
    <row r="11" spans="1:14" ht="18" customHeight="1" x14ac:dyDescent="0.25">
      <c r="A11" s="120"/>
      <c r="B11" s="140"/>
      <c r="C11" s="21" t="s">
        <v>36</v>
      </c>
      <c r="D11" s="15"/>
      <c r="E11" s="10"/>
      <c r="F11" s="9"/>
      <c r="G11" s="4">
        <v>44986</v>
      </c>
      <c r="H11" s="6" t="s">
        <v>6</v>
      </c>
      <c r="I11" s="22" t="str">
        <f t="shared" si="0"/>
        <v>-  AN(S)</v>
      </c>
      <c r="J11" s="5" t="s">
        <v>5</v>
      </c>
      <c r="K11" s="17" t="str">
        <f t="shared" si="1"/>
        <v>-  AN(S)</v>
      </c>
      <c r="L11" s="30">
        <v>2</v>
      </c>
      <c r="M11" s="30">
        <v>3</v>
      </c>
      <c r="N11" s="25"/>
    </row>
    <row r="12" spans="1:14" ht="18" customHeight="1" x14ac:dyDescent="0.25">
      <c r="A12" s="120"/>
      <c r="B12" s="140" t="s">
        <v>37</v>
      </c>
      <c r="C12" s="21" t="s">
        <v>4</v>
      </c>
      <c r="D12" s="2"/>
      <c r="E12" s="8"/>
      <c r="F12" s="14"/>
      <c r="G12" s="4">
        <v>41426</v>
      </c>
      <c r="H12" s="4">
        <v>42773</v>
      </c>
      <c r="I12" s="26" t="str">
        <f t="shared" si="0"/>
        <v>3  AN(S)</v>
      </c>
      <c r="J12" s="5">
        <v>45291</v>
      </c>
      <c r="K12" s="17" t="str">
        <f t="shared" si="1"/>
        <v>6  AN(S)</v>
      </c>
      <c r="L12" s="30">
        <v>23</v>
      </c>
      <c r="M12" s="30">
        <v>83</v>
      </c>
      <c r="N12" s="23"/>
    </row>
    <row r="13" spans="1:14" ht="18" customHeight="1" x14ac:dyDescent="0.25">
      <c r="A13" s="120"/>
      <c r="B13" s="140"/>
      <c r="C13" s="21" t="s">
        <v>38</v>
      </c>
      <c r="D13" s="14"/>
      <c r="E13" s="8"/>
      <c r="F13" s="8"/>
      <c r="G13" s="4">
        <v>44714</v>
      </c>
      <c r="H13" s="6" t="s">
        <v>6</v>
      </c>
      <c r="I13" s="26" t="str">
        <f t="shared" si="0"/>
        <v>-  AN(S)</v>
      </c>
      <c r="J13" s="5" t="s">
        <v>5</v>
      </c>
      <c r="K13" s="17" t="str">
        <f t="shared" si="1"/>
        <v>-  AN(S)</v>
      </c>
      <c r="L13" s="30">
        <v>216</v>
      </c>
      <c r="M13" s="30">
        <v>698</v>
      </c>
      <c r="N13" s="24"/>
    </row>
    <row r="14" spans="1:14" ht="18" customHeight="1" x14ac:dyDescent="0.25">
      <c r="A14" s="120"/>
      <c r="B14" s="140"/>
      <c r="C14" s="21" t="s">
        <v>22</v>
      </c>
      <c r="D14" s="8"/>
      <c r="E14" s="14"/>
      <c r="F14" s="2"/>
      <c r="G14" s="4">
        <v>43101</v>
      </c>
      <c r="H14" s="4">
        <v>43983</v>
      </c>
      <c r="I14" s="22" t="str">
        <f t="shared" si="0"/>
        <v>2  AN(S)</v>
      </c>
      <c r="J14" s="5">
        <v>46022</v>
      </c>
      <c r="K14" s="17" t="str">
        <f t="shared" si="1"/>
        <v>5  AN(S)</v>
      </c>
      <c r="L14" s="30">
        <v>126</v>
      </c>
      <c r="M14" s="30">
        <v>448</v>
      </c>
      <c r="N14" s="24" t="s">
        <v>39</v>
      </c>
    </row>
    <row r="15" spans="1:14" ht="18" customHeight="1" x14ac:dyDescent="0.25">
      <c r="A15" s="120"/>
      <c r="B15" s="140"/>
      <c r="C15" s="21" t="s">
        <v>40</v>
      </c>
      <c r="D15" s="8"/>
      <c r="E15" s="14"/>
      <c r="F15" s="2"/>
      <c r="G15" s="4">
        <v>43983</v>
      </c>
      <c r="H15" s="4">
        <v>44713</v>
      </c>
      <c r="I15" s="22" t="str">
        <f t="shared" si="0"/>
        <v>2  AN(S)</v>
      </c>
      <c r="J15" s="5" t="s">
        <v>5</v>
      </c>
      <c r="K15" s="17" t="str">
        <f t="shared" si="1"/>
        <v>-  AN(S)</v>
      </c>
      <c r="L15" s="30">
        <v>39</v>
      </c>
      <c r="M15" s="30">
        <v>113</v>
      </c>
      <c r="N15" s="24"/>
    </row>
    <row r="16" spans="1:14" ht="18" customHeight="1" x14ac:dyDescent="0.25">
      <c r="A16" s="120"/>
      <c r="B16" s="140"/>
      <c r="C16" s="21" t="s">
        <v>41</v>
      </c>
      <c r="D16" s="8"/>
      <c r="E16" s="8"/>
      <c r="F16" s="14"/>
      <c r="G16" s="4">
        <v>43132</v>
      </c>
      <c r="H16" s="4">
        <v>43503</v>
      </c>
      <c r="I16" s="22" t="str">
        <f t="shared" si="0"/>
        <v>1  AN(S)</v>
      </c>
      <c r="J16" s="5">
        <v>45291</v>
      </c>
      <c r="K16" s="17" t="str">
        <f t="shared" si="1"/>
        <v>4  AN(S)</v>
      </c>
      <c r="L16" s="30">
        <v>46</v>
      </c>
      <c r="M16" s="30">
        <v>46</v>
      </c>
      <c r="N16" s="24"/>
    </row>
    <row r="17" spans="1:16" ht="18" customHeight="1" x14ac:dyDescent="0.25">
      <c r="A17" s="120"/>
      <c r="B17" s="140"/>
      <c r="C17" s="21" t="s">
        <v>42</v>
      </c>
      <c r="D17" s="14"/>
      <c r="E17" s="2"/>
      <c r="F17" s="2"/>
      <c r="G17" s="12">
        <v>43984</v>
      </c>
      <c r="H17" s="13" t="s">
        <v>6</v>
      </c>
      <c r="I17" s="26" t="str">
        <f t="shared" si="0"/>
        <v>-  AN(S)</v>
      </c>
      <c r="J17" s="5" t="s">
        <v>5</v>
      </c>
      <c r="K17" s="17" t="str">
        <f t="shared" si="1"/>
        <v>-  AN(S)</v>
      </c>
      <c r="L17" s="30">
        <v>183</v>
      </c>
      <c r="M17" s="30">
        <v>435</v>
      </c>
      <c r="N17" s="24"/>
    </row>
    <row r="18" spans="1:16" ht="18" customHeight="1" x14ac:dyDescent="0.25">
      <c r="A18" s="120"/>
      <c r="B18" s="140"/>
      <c r="C18" s="21" t="s">
        <v>20</v>
      </c>
      <c r="D18" s="14"/>
      <c r="E18" s="8"/>
      <c r="F18" s="8"/>
      <c r="G18" s="12">
        <v>44562</v>
      </c>
      <c r="H18" s="13" t="s">
        <v>6</v>
      </c>
      <c r="I18" s="26" t="str">
        <f t="shared" si="0"/>
        <v>-  AN(S)</v>
      </c>
      <c r="J18" s="5" t="s">
        <v>5</v>
      </c>
      <c r="K18" s="17" t="str">
        <f t="shared" si="1"/>
        <v>-  AN(S)</v>
      </c>
      <c r="L18" s="30">
        <v>209</v>
      </c>
      <c r="M18" s="30">
        <v>444</v>
      </c>
      <c r="N18" s="24"/>
    </row>
    <row r="19" spans="1:16" ht="18" customHeight="1" x14ac:dyDescent="0.25">
      <c r="A19" s="120"/>
      <c r="B19" s="140"/>
      <c r="C19" s="21" t="s">
        <v>21</v>
      </c>
      <c r="D19" s="8"/>
      <c r="E19" s="8"/>
      <c r="F19" s="14"/>
      <c r="G19" s="4">
        <v>43101</v>
      </c>
      <c r="H19" s="3">
        <v>44561</v>
      </c>
      <c r="I19" s="22" t="str">
        <f t="shared" si="0"/>
        <v>3  AN(S)</v>
      </c>
      <c r="J19" s="5">
        <v>45657</v>
      </c>
      <c r="K19" s="17" t="str">
        <f t="shared" si="1"/>
        <v>3  AN(S)</v>
      </c>
      <c r="L19" s="30">
        <v>61</v>
      </c>
      <c r="M19" s="30">
        <v>129</v>
      </c>
      <c r="N19" s="24"/>
    </row>
    <row r="20" spans="1:16" ht="18" customHeight="1" x14ac:dyDescent="0.25">
      <c r="A20" s="120"/>
      <c r="B20" s="140"/>
      <c r="C20" s="21" t="s">
        <v>18</v>
      </c>
      <c r="D20" s="14"/>
      <c r="E20" s="2"/>
      <c r="F20" s="2"/>
      <c r="G20" s="4">
        <v>43101</v>
      </c>
      <c r="H20" s="13" t="s">
        <v>6</v>
      </c>
      <c r="I20" s="26" t="str">
        <f t="shared" si="0"/>
        <v>-  AN(S)</v>
      </c>
      <c r="J20" s="5" t="s">
        <v>5</v>
      </c>
      <c r="K20" s="17" t="str">
        <f t="shared" si="1"/>
        <v>-  AN(S)</v>
      </c>
      <c r="L20" s="30">
        <v>141</v>
      </c>
      <c r="M20" s="30">
        <v>136</v>
      </c>
      <c r="N20" s="24"/>
    </row>
    <row r="21" spans="1:16" ht="18" customHeight="1" x14ac:dyDescent="0.25">
      <c r="A21" s="120"/>
      <c r="B21" s="140" t="s">
        <v>43</v>
      </c>
      <c r="C21" s="21" t="s">
        <v>44</v>
      </c>
      <c r="D21" s="8"/>
      <c r="E21" s="14"/>
      <c r="F21" s="2"/>
      <c r="G21" s="4">
        <v>42064</v>
      </c>
      <c r="H21" s="4">
        <v>42431</v>
      </c>
      <c r="I21" s="26" t="str">
        <f t="shared" si="0"/>
        <v>1  AN(S)</v>
      </c>
      <c r="J21" s="5" t="s">
        <v>5</v>
      </c>
      <c r="K21" s="17" t="str">
        <f t="shared" si="1"/>
        <v>-  AN(S)</v>
      </c>
      <c r="L21" s="30">
        <v>135</v>
      </c>
      <c r="M21" s="30">
        <v>135</v>
      </c>
      <c r="N21" s="24"/>
    </row>
    <row r="22" spans="1:16" ht="18" customHeight="1" x14ac:dyDescent="0.25">
      <c r="A22" s="120"/>
      <c r="B22" s="140"/>
      <c r="C22" s="21" t="s">
        <v>45</v>
      </c>
      <c r="D22" s="8"/>
      <c r="E22" s="8"/>
      <c r="F22" s="14"/>
      <c r="G22" s="4">
        <v>42431</v>
      </c>
      <c r="H22" s="4">
        <v>44105</v>
      </c>
      <c r="I22" s="26" t="str">
        <f t="shared" si="0"/>
        <v>4  AN(S)</v>
      </c>
      <c r="J22" s="5">
        <v>45748</v>
      </c>
      <c r="K22" s="17" t="str">
        <f t="shared" si="1"/>
        <v>4  AN(S)</v>
      </c>
      <c r="L22" s="30">
        <v>76</v>
      </c>
      <c r="M22" s="30">
        <v>76</v>
      </c>
      <c r="N22" s="24" t="s">
        <v>32</v>
      </c>
    </row>
    <row r="23" spans="1:16" ht="18" customHeight="1" x14ac:dyDescent="0.25">
      <c r="A23" s="120"/>
      <c r="B23" s="140"/>
      <c r="C23" s="21" t="s">
        <v>46</v>
      </c>
      <c r="D23" s="16"/>
      <c r="E23" s="11"/>
      <c r="F23" s="11"/>
      <c r="G23" s="18">
        <v>45474</v>
      </c>
      <c r="H23" s="6" t="s">
        <v>6</v>
      </c>
      <c r="I23" s="22" t="str">
        <f t="shared" si="0"/>
        <v>-  AN(S)</v>
      </c>
      <c r="J23" s="5" t="s">
        <v>5</v>
      </c>
      <c r="K23" s="17" t="str">
        <f t="shared" si="1"/>
        <v>-  AN(S)</v>
      </c>
      <c r="L23" s="30">
        <v>27</v>
      </c>
      <c r="M23" s="30">
        <v>27</v>
      </c>
      <c r="N23" s="24"/>
    </row>
    <row r="24" spans="1:16" ht="18" customHeight="1" x14ac:dyDescent="0.25">
      <c r="A24" s="120"/>
      <c r="B24" s="140"/>
      <c r="C24" s="21" t="s">
        <v>23</v>
      </c>
      <c r="D24" s="8"/>
      <c r="E24" s="8"/>
      <c r="F24" s="14"/>
      <c r="G24" s="4">
        <v>44804</v>
      </c>
      <c r="H24" s="4">
        <v>45536</v>
      </c>
      <c r="I24" s="26" t="str">
        <f t="shared" si="0"/>
        <v>2  AN(S)</v>
      </c>
      <c r="J24" s="5">
        <v>46752</v>
      </c>
      <c r="K24" s="17" t="str">
        <f t="shared" si="1"/>
        <v>3  AN(S)</v>
      </c>
      <c r="L24" s="30">
        <v>36</v>
      </c>
      <c r="M24" s="30">
        <v>36</v>
      </c>
      <c r="N24" s="24" t="s">
        <v>63</v>
      </c>
    </row>
    <row r="25" spans="1:16" ht="18" customHeight="1" x14ac:dyDescent="0.25">
      <c r="A25" s="120"/>
      <c r="B25" s="140"/>
      <c r="C25" s="21" t="s">
        <v>24</v>
      </c>
      <c r="D25" s="8"/>
      <c r="E25" s="14"/>
      <c r="F25" s="2"/>
      <c r="G25" s="4">
        <v>45170</v>
      </c>
      <c r="H25" s="4">
        <v>45537</v>
      </c>
      <c r="I25" s="26" t="str">
        <f t="shared" si="0"/>
        <v>1  AN(S)</v>
      </c>
      <c r="J25" s="5">
        <v>47118</v>
      </c>
      <c r="K25" s="17" t="str">
        <f t="shared" si="1"/>
        <v>4  AN(S)</v>
      </c>
      <c r="L25" s="30">
        <v>22</v>
      </c>
      <c r="M25" s="30">
        <v>22</v>
      </c>
      <c r="N25" s="24" t="s">
        <v>64</v>
      </c>
    </row>
    <row r="26" spans="1:16" ht="18" customHeight="1" x14ac:dyDescent="0.25">
      <c r="A26" s="120"/>
      <c r="B26" s="140" t="s">
        <v>7</v>
      </c>
      <c r="C26" s="21" t="s">
        <v>11</v>
      </c>
      <c r="D26" s="2"/>
      <c r="E26" s="2"/>
      <c r="F26" s="14"/>
      <c r="G26" s="4">
        <v>39448</v>
      </c>
      <c r="H26" s="4">
        <v>41820</v>
      </c>
      <c r="I26" s="22" t="str">
        <f>IF(H26="EN COURS","-",DATEDIF(G26,H26,"y"))&amp;"  AN(S)"</f>
        <v>6  AN(S)</v>
      </c>
      <c r="J26" s="5">
        <v>43465</v>
      </c>
      <c r="K26" s="17" t="str">
        <f t="shared" si="1"/>
        <v>4  AN(S)</v>
      </c>
      <c r="L26" s="30">
        <v>51</v>
      </c>
      <c r="M26" s="30">
        <v>51</v>
      </c>
      <c r="N26" s="24"/>
      <c r="P26" s="28"/>
    </row>
    <row r="27" spans="1:16" ht="18" customHeight="1" x14ac:dyDescent="0.25">
      <c r="A27" s="120"/>
      <c r="B27" s="140"/>
      <c r="C27" s="21" t="s">
        <v>26</v>
      </c>
      <c r="D27" s="14"/>
      <c r="E27" s="2"/>
      <c r="F27" s="2"/>
      <c r="G27" s="4">
        <v>41821</v>
      </c>
      <c r="H27" s="6" t="s">
        <v>6</v>
      </c>
      <c r="I27" s="22" t="str">
        <f>IF(H27="EN COURS","-",DATEDIF(G27,H27,"y"))&amp;"  AN(S)"</f>
        <v>-  AN(S)</v>
      </c>
      <c r="J27" s="5" t="s">
        <v>5</v>
      </c>
      <c r="K27" s="17" t="str">
        <f t="shared" si="1"/>
        <v>-  AN(S)</v>
      </c>
      <c r="L27" s="30">
        <v>234</v>
      </c>
      <c r="M27" s="30">
        <v>238</v>
      </c>
      <c r="N27" s="24"/>
    </row>
    <row r="28" spans="1:16" ht="18" customHeight="1" x14ac:dyDescent="0.25">
      <c r="A28" s="120"/>
      <c r="B28" s="140"/>
      <c r="C28" s="21" t="s">
        <v>47</v>
      </c>
      <c r="D28" s="14"/>
      <c r="E28" s="2"/>
      <c r="F28" s="2"/>
      <c r="G28" s="4">
        <v>44378</v>
      </c>
      <c r="H28" s="6" t="s">
        <v>6</v>
      </c>
      <c r="I28" s="22" t="str">
        <f>IF(H28="EN COURS","-",DATEDIF(G28,H28,"y"))&amp;"  AN(S)"</f>
        <v>-  AN(S)</v>
      </c>
      <c r="J28" s="5" t="s">
        <v>5</v>
      </c>
      <c r="K28" s="17" t="str">
        <f t="shared" si="1"/>
        <v>-  AN(S)</v>
      </c>
      <c r="L28" s="30">
        <v>13</v>
      </c>
      <c r="M28" s="30">
        <v>13</v>
      </c>
      <c r="N28" s="24"/>
    </row>
    <row r="29" spans="1:16" ht="18" customHeight="1" x14ac:dyDescent="0.25">
      <c r="A29" s="120"/>
      <c r="B29" s="140" t="s">
        <v>8</v>
      </c>
      <c r="C29" s="21" t="s">
        <v>9</v>
      </c>
      <c r="D29" s="2"/>
      <c r="E29" s="8"/>
      <c r="F29" s="14"/>
      <c r="G29" s="4">
        <v>39114</v>
      </c>
      <c r="H29" s="4">
        <v>42248</v>
      </c>
      <c r="I29" s="26" t="str">
        <f t="shared" ref="I29:I33" si="2">IF(H29="EN COURS","-",DATEDIF(G29,H29,"y"))&amp;"  AN(S)"</f>
        <v>8  AN(S)</v>
      </c>
      <c r="J29" s="5">
        <v>43465</v>
      </c>
      <c r="K29" s="17" t="str">
        <f t="shared" si="1"/>
        <v>3  AN(S)</v>
      </c>
      <c r="L29" s="30">
        <v>116</v>
      </c>
      <c r="M29" s="30">
        <v>449</v>
      </c>
      <c r="N29" s="24"/>
    </row>
    <row r="30" spans="1:16" ht="18" customHeight="1" x14ac:dyDescent="0.25">
      <c r="A30" s="120"/>
      <c r="B30" s="140"/>
      <c r="C30" s="21" t="s">
        <v>10</v>
      </c>
      <c r="D30" s="2"/>
      <c r="E30" s="8"/>
      <c r="F30" s="14"/>
      <c r="G30" s="4">
        <v>39114</v>
      </c>
      <c r="H30" s="4">
        <v>42248</v>
      </c>
      <c r="I30" s="22" t="str">
        <f>IF(H30="EN COURS","-",DATEDIF(G30,H30,"y"))&amp;"  AN(S)"</f>
        <v>8  AN(S)</v>
      </c>
      <c r="J30" s="5">
        <v>43465</v>
      </c>
      <c r="K30" s="17" t="str">
        <f t="shared" si="1"/>
        <v>3  AN(S)</v>
      </c>
      <c r="L30" s="30" t="s">
        <v>5</v>
      </c>
      <c r="M30" s="30" t="s">
        <v>5</v>
      </c>
      <c r="N30" s="24"/>
    </row>
    <row r="31" spans="1:16" ht="18" customHeight="1" x14ac:dyDescent="0.25">
      <c r="A31" s="120"/>
      <c r="B31" s="140"/>
      <c r="C31" s="21" t="s">
        <v>48</v>
      </c>
      <c r="D31" s="2"/>
      <c r="E31" s="14"/>
      <c r="F31" s="7"/>
      <c r="G31" s="4">
        <v>43101</v>
      </c>
      <c r="H31" s="4">
        <v>45175</v>
      </c>
      <c r="I31" s="26" t="str">
        <f t="shared" si="2"/>
        <v>5  AN(S)</v>
      </c>
      <c r="J31" s="5">
        <v>46752</v>
      </c>
      <c r="K31" s="17" t="str">
        <f t="shared" si="1"/>
        <v>4  AN(S)</v>
      </c>
      <c r="L31" s="30" t="s">
        <v>5</v>
      </c>
      <c r="M31" s="30" t="s">
        <v>5</v>
      </c>
      <c r="N31" s="24" t="s">
        <v>63</v>
      </c>
    </row>
    <row r="32" spans="1:16" ht="18" customHeight="1" x14ac:dyDescent="0.25">
      <c r="A32" s="120"/>
      <c r="B32" s="140"/>
      <c r="C32" s="21" t="s">
        <v>49</v>
      </c>
      <c r="D32" s="2"/>
      <c r="E32" s="8"/>
      <c r="F32" s="14"/>
      <c r="G32" s="4">
        <v>45175</v>
      </c>
      <c r="H32" s="4">
        <v>45845</v>
      </c>
      <c r="I32" s="26" t="str">
        <f t="shared" si="2"/>
        <v>1  AN(S)</v>
      </c>
      <c r="J32" s="5" t="s">
        <v>5</v>
      </c>
      <c r="K32" s="17" t="str">
        <f t="shared" si="1"/>
        <v>-  AN(S)</v>
      </c>
      <c r="L32" s="30" t="s">
        <v>5</v>
      </c>
      <c r="M32" s="30" t="s">
        <v>5</v>
      </c>
      <c r="N32" s="24" t="s">
        <v>50</v>
      </c>
    </row>
    <row r="33" spans="1:14" ht="18" customHeight="1" x14ac:dyDescent="0.25">
      <c r="A33" s="120"/>
      <c r="B33" s="140"/>
      <c r="C33" s="21" t="s">
        <v>51</v>
      </c>
      <c r="D33" s="8"/>
      <c r="E33" s="8"/>
      <c r="F33" s="14"/>
      <c r="G33" s="4">
        <v>42248</v>
      </c>
      <c r="H33" s="4">
        <v>45845</v>
      </c>
      <c r="I33" s="22" t="str">
        <f t="shared" si="2"/>
        <v>9  AN(S)</v>
      </c>
      <c r="J33" s="5">
        <v>46752</v>
      </c>
      <c r="K33" s="17" t="str">
        <f t="shared" si="1"/>
        <v>2  AN(S)</v>
      </c>
      <c r="L33" s="30">
        <v>337</v>
      </c>
      <c r="M33" s="30">
        <v>1833</v>
      </c>
      <c r="N33" s="24" t="s">
        <v>63</v>
      </c>
    </row>
    <row r="34" spans="1:14" ht="18" customHeight="1" x14ac:dyDescent="0.25">
      <c r="A34" s="120"/>
      <c r="B34" s="140"/>
      <c r="C34" s="21" t="s">
        <v>52</v>
      </c>
      <c r="D34" s="14"/>
      <c r="E34" s="2"/>
      <c r="F34" s="2"/>
      <c r="G34" s="4">
        <v>42248</v>
      </c>
      <c r="H34" s="4">
        <v>45845</v>
      </c>
      <c r="I34" s="22" t="str">
        <f>IF(H34="EN COURS","-",DATEDIF(G34,H34,"y"))&amp;"  AN(S)"</f>
        <v>9  AN(S)</v>
      </c>
      <c r="J34" s="5" t="s">
        <v>5</v>
      </c>
      <c r="K34" s="17" t="str">
        <f t="shared" si="1"/>
        <v>-  AN(S)</v>
      </c>
      <c r="L34" s="30">
        <v>171</v>
      </c>
      <c r="M34" s="30">
        <v>299</v>
      </c>
      <c r="N34" s="24"/>
    </row>
    <row r="35" spans="1:14" ht="18" customHeight="1" x14ac:dyDescent="0.25">
      <c r="A35" s="120"/>
      <c r="B35" s="140"/>
      <c r="C35" s="21" t="s">
        <v>53</v>
      </c>
      <c r="D35" s="14"/>
      <c r="E35" s="2"/>
      <c r="F35" s="2"/>
      <c r="G35" s="4">
        <v>44805</v>
      </c>
      <c r="H35" s="6" t="s">
        <v>6</v>
      </c>
      <c r="I35" s="22" t="str">
        <f t="shared" ref="I35:I36" si="3">IF(H35="EN COURS","-",DATEDIF(G35,H35,"y"))&amp;"  AN(S)"</f>
        <v>-  AN(S)</v>
      </c>
      <c r="J35" s="5" t="s">
        <v>5</v>
      </c>
      <c r="K35" s="17" t="str">
        <f t="shared" si="1"/>
        <v>-  AN(S)</v>
      </c>
      <c r="L35" s="30">
        <v>110</v>
      </c>
      <c r="M35" s="30">
        <v>248</v>
      </c>
      <c r="N35" s="24"/>
    </row>
    <row r="36" spans="1:14" ht="18" customHeight="1" x14ac:dyDescent="0.25">
      <c r="A36" s="120"/>
      <c r="B36" s="140"/>
      <c r="C36" s="21" t="s">
        <v>54</v>
      </c>
      <c r="D36" s="14"/>
      <c r="E36" s="2"/>
      <c r="F36" s="2"/>
      <c r="G36" s="4">
        <v>45845</v>
      </c>
      <c r="H36" s="6" t="s">
        <v>6</v>
      </c>
      <c r="I36" s="22" t="str">
        <f t="shared" si="3"/>
        <v>-  AN(S)</v>
      </c>
      <c r="J36" s="5" t="s">
        <v>5</v>
      </c>
      <c r="K36" s="17" t="str">
        <f t="shared" si="1"/>
        <v>-  AN(S)</v>
      </c>
      <c r="L36" s="30">
        <v>33</v>
      </c>
      <c r="M36" s="30">
        <v>196</v>
      </c>
      <c r="N36" s="23"/>
    </row>
    <row r="37" spans="1:14" ht="18" customHeight="1" x14ac:dyDescent="0.25">
      <c r="A37" s="120"/>
      <c r="B37" s="140"/>
      <c r="C37" s="21" t="s">
        <v>25</v>
      </c>
      <c r="D37" s="14"/>
      <c r="E37" s="2"/>
      <c r="F37" s="2"/>
      <c r="G37" s="4">
        <v>45845</v>
      </c>
      <c r="H37" s="6" t="s">
        <v>6</v>
      </c>
      <c r="I37" s="22" t="str">
        <f>IF(H37="EN COURS","-",DATEDIF(G37,H37,"y"))&amp;"  AN(S)"</f>
        <v>-  AN(S)</v>
      </c>
      <c r="J37" s="5" t="s">
        <v>5</v>
      </c>
      <c r="K37" s="17" t="str">
        <f t="shared" si="1"/>
        <v>-  AN(S)</v>
      </c>
      <c r="L37" s="30">
        <v>14</v>
      </c>
      <c r="M37" s="30">
        <v>34</v>
      </c>
      <c r="N37" s="23"/>
    </row>
    <row r="38" spans="1:14" ht="18" customHeight="1" x14ac:dyDescent="0.25">
      <c r="A38" s="120"/>
      <c r="B38" s="20" t="s">
        <v>55</v>
      </c>
      <c r="C38" s="21" t="s">
        <v>56</v>
      </c>
      <c r="D38" s="15"/>
      <c r="E38" s="10"/>
      <c r="F38" s="9"/>
      <c r="G38" s="4">
        <v>43466</v>
      </c>
      <c r="H38" s="6" t="s">
        <v>6</v>
      </c>
      <c r="I38" s="26" t="str">
        <f t="shared" ref="I38" si="4">IF(H38="EN COURS","-",DATEDIF(G38,H38,"y"))&amp;"  AN(S)"</f>
        <v>-  AN(S)</v>
      </c>
      <c r="J38" s="5" t="s">
        <v>5</v>
      </c>
      <c r="K38" s="17" t="str">
        <f t="shared" si="1"/>
        <v>-  AN(S)</v>
      </c>
      <c r="L38" s="30">
        <v>334</v>
      </c>
      <c r="M38" s="30">
        <v>335</v>
      </c>
      <c r="N38" s="23"/>
    </row>
    <row r="39" spans="1:14" ht="18" customHeight="1" x14ac:dyDescent="0.25">
      <c r="A39" s="120"/>
      <c r="B39" s="20" t="s">
        <v>57</v>
      </c>
      <c r="C39" s="21" t="s">
        <v>58</v>
      </c>
      <c r="D39" s="15"/>
      <c r="E39" s="8"/>
      <c r="F39" s="8"/>
      <c r="G39" s="4">
        <v>44760</v>
      </c>
      <c r="H39" s="6" t="s">
        <v>6</v>
      </c>
      <c r="I39" s="26" t="str">
        <f t="shared" si="0"/>
        <v>-  AN(S)</v>
      </c>
      <c r="J39" s="5" t="s">
        <v>5</v>
      </c>
      <c r="K39" s="17" t="str">
        <f t="shared" si="1"/>
        <v>-  AN(S)</v>
      </c>
      <c r="L39" s="30">
        <v>10</v>
      </c>
      <c r="M39" s="30">
        <v>10</v>
      </c>
      <c r="N39" s="23"/>
    </row>
    <row r="40" spans="1:14" ht="18" customHeight="1" x14ac:dyDescent="0.25">
      <c r="A40" s="120"/>
      <c r="B40" s="133" t="s">
        <v>59</v>
      </c>
      <c r="C40" s="21" t="s">
        <v>28</v>
      </c>
      <c r="D40" s="14"/>
      <c r="E40" s="2"/>
      <c r="F40" s="2"/>
      <c r="G40" s="4">
        <v>45748</v>
      </c>
      <c r="H40" s="6" t="s">
        <v>6</v>
      </c>
      <c r="I40" s="26" t="str">
        <f t="shared" si="0"/>
        <v>-  AN(S)</v>
      </c>
      <c r="J40" s="5" t="s">
        <v>5</v>
      </c>
      <c r="K40" s="17" t="str">
        <f t="shared" si="1"/>
        <v>-  AN(S)</v>
      </c>
      <c r="L40" s="30">
        <v>17</v>
      </c>
      <c r="M40" s="30">
        <v>29</v>
      </c>
      <c r="N40" s="23"/>
    </row>
    <row r="41" spans="1:14" ht="18" customHeight="1" x14ac:dyDescent="0.25">
      <c r="A41" s="120"/>
      <c r="B41" s="133"/>
      <c r="C41" s="21" t="s">
        <v>60</v>
      </c>
      <c r="D41" s="8"/>
      <c r="E41" s="14"/>
      <c r="F41" s="2"/>
      <c r="G41" s="12">
        <v>43466</v>
      </c>
      <c r="H41" s="6" t="s">
        <v>6</v>
      </c>
      <c r="I41" s="22" t="str">
        <f t="shared" si="0"/>
        <v>-  AN(S)</v>
      </c>
      <c r="J41" s="5" t="s">
        <v>5</v>
      </c>
      <c r="K41" s="17" t="str">
        <f t="shared" si="1"/>
        <v>-  AN(S)</v>
      </c>
      <c r="L41" s="30">
        <v>5</v>
      </c>
      <c r="M41" s="30">
        <v>5</v>
      </c>
      <c r="N41" s="23"/>
    </row>
    <row r="42" spans="1:14" ht="18" customHeight="1" x14ac:dyDescent="0.25">
      <c r="A42" s="120"/>
      <c r="B42" s="27" t="s">
        <v>61</v>
      </c>
      <c r="C42" s="21" t="s">
        <v>27</v>
      </c>
      <c r="D42" s="8"/>
      <c r="E42" s="2"/>
      <c r="F42" s="14"/>
      <c r="G42" s="4">
        <v>43312</v>
      </c>
      <c r="H42" s="12">
        <v>45201</v>
      </c>
      <c r="I42" s="26" t="str">
        <f t="shared" si="0"/>
        <v>5  AN(S)</v>
      </c>
      <c r="J42" s="5">
        <v>46022</v>
      </c>
      <c r="K42" s="17" t="str">
        <f t="shared" si="1"/>
        <v>2  AN(S)</v>
      </c>
      <c r="L42" s="30">
        <v>147</v>
      </c>
      <c r="M42" s="30">
        <v>199</v>
      </c>
      <c r="N42" s="24" t="s">
        <v>32</v>
      </c>
    </row>
    <row r="43" spans="1:14" ht="18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mergeCells count="11">
    <mergeCell ref="B4:B5"/>
    <mergeCell ref="C4:C5"/>
    <mergeCell ref="D4:F4"/>
    <mergeCell ref="G4:N4"/>
    <mergeCell ref="A6:A42"/>
    <mergeCell ref="B6:B11"/>
    <mergeCell ref="B12:B20"/>
    <mergeCell ref="B21:B25"/>
    <mergeCell ref="B26:B28"/>
    <mergeCell ref="B29:B37"/>
    <mergeCell ref="B40:B41"/>
  </mergeCells>
  <conditionalFormatting sqref="D16">
    <cfRule type="iconSet" priority="1">
      <iconSet iconSet="4RedToBlack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27B3-5C46-4182-A1DD-6226F37DA6AE}">
  <dimension ref="A1:N19"/>
  <sheetViews>
    <sheetView topLeftCell="J1" workbookViewId="0">
      <selection activeCell="A4" sqref="A4:N13"/>
    </sheetView>
  </sheetViews>
  <sheetFormatPr baseColWidth="10" defaultRowHeight="15" x14ac:dyDescent="0.25"/>
  <cols>
    <col min="2" max="2" width="21.140625" bestFit="1" customWidth="1"/>
    <col min="3" max="3" width="83.7109375" bestFit="1" customWidth="1"/>
    <col min="4" max="4" width="30.85546875" customWidth="1"/>
    <col min="5" max="5" width="26.140625" bestFit="1" customWidth="1"/>
    <col min="6" max="6" width="19" bestFit="1" customWidth="1"/>
    <col min="7" max="7" width="36" bestFit="1" customWidth="1"/>
    <col min="8" max="8" width="32.28515625" bestFit="1" customWidth="1"/>
    <col min="9" max="9" width="75.5703125" bestFit="1" customWidth="1"/>
    <col min="10" max="10" width="27.42578125" bestFit="1" customWidth="1"/>
    <col min="11" max="11" width="64.140625" bestFit="1" customWidth="1"/>
    <col min="12" max="12" width="29.42578125" bestFit="1" customWidth="1"/>
    <col min="13" max="13" width="41" bestFit="1" customWidth="1"/>
    <col min="14" max="14" width="19" bestFit="1" customWidth="1"/>
  </cols>
  <sheetData>
    <row r="1" spans="1:14" ht="55.5" customHeight="1" x14ac:dyDescent="0.25"/>
    <row r="2" spans="1:14" ht="23.25" customHeight="1" x14ac:dyDescent="0.25">
      <c r="B2" s="145" t="s">
        <v>0</v>
      </c>
      <c r="C2" s="145" t="s">
        <v>12</v>
      </c>
      <c r="D2" s="136" t="s">
        <v>1</v>
      </c>
      <c r="E2" s="136"/>
      <c r="F2" s="136"/>
      <c r="G2" s="137" t="s">
        <v>13</v>
      </c>
      <c r="H2" s="138"/>
      <c r="I2" s="138"/>
      <c r="J2" s="138"/>
      <c r="K2" s="138"/>
      <c r="L2" s="138"/>
      <c r="M2" s="138"/>
      <c r="N2" s="139"/>
    </row>
    <row r="3" spans="1:14" ht="30.75" customHeight="1" thickBot="1" x14ac:dyDescent="0.3">
      <c r="B3" s="145"/>
      <c r="C3" s="145"/>
      <c r="D3" s="48" t="s">
        <v>92</v>
      </c>
      <c r="E3" s="19" t="s">
        <v>16</v>
      </c>
      <c r="F3" s="19" t="s">
        <v>3</v>
      </c>
      <c r="G3" s="19" t="s">
        <v>14</v>
      </c>
      <c r="H3" s="19" t="s">
        <v>15</v>
      </c>
      <c r="I3" s="19" t="s">
        <v>67</v>
      </c>
      <c r="J3" s="19" t="s">
        <v>17</v>
      </c>
      <c r="K3" s="19" t="s">
        <v>69</v>
      </c>
      <c r="L3" s="19" t="s">
        <v>65</v>
      </c>
      <c r="M3" s="19" t="s">
        <v>66</v>
      </c>
      <c r="N3" s="19" t="s">
        <v>62</v>
      </c>
    </row>
    <row r="4" spans="1:14" ht="23.25" customHeight="1" thickTop="1" thickBot="1" x14ac:dyDescent="0.3">
      <c r="A4" s="108" t="s">
        <v>70</v>
      </c>
      <c r="B4" s="134" t="s">
        <v>71</v>
      </c>
      <c r="C4" s="31" t="s">
        <v>72</v>
      </c>
      <c r="D4" s="32"/>
      <c r="E4" s="33"/>
      <c r="F4" s="32"/>
      <c r="G4" s="34">
        <v>43374</v>
      </c>
      <c r="H4" s="6" t="s">
        <v>6</v>
      </c>
      <c r="I4" s="35" t="str">
        <f>IF(H4="EN COURS","-",DATEDIF(G4,H4,"y"))&amp;"  AN(S)"</f>
        <v>-  AN(S)</v>
      </c>
      <c r="J4" s="36" t="s">
        <v>73</v>
      </c>
      <c r="K4" s="32"/>
      <c r="L4" s="32"/>
      <c r="M4" s="32" t="s">
        <v>74</v>
      </c>
      <c r="N4" s="32"/>
    </row>
    <row r="5" spans="1:14" ht="23.25" customHeight="1" thickBot="1" x14ac:dyDescent="0.3">
      <c r="A5" s="141"/>
      <c r="B5" s="134"/>
      <c r="C5" s="31" t="s">
        <v>75</v>
      </c>
      <c r="D5" s="32"/>
      <c r="E5" s="33"/>
      <c r="F5" s="32"/>
      <c r="G5" s="34">
        <v>42156</v>
      </c>
      <c r="H5" s="34">
        <v>43404</v>
      </c>
      <c r="I5" s="17" t="str">
        <f t="shared" ref="I5:I11" si="0">IF(H5="EN COURS","-",DATEDIF(G5,H5,"y"))&amp;"  AN(S)"</f>
        <v>3  AN(S)</v>
      </c>
      <c r="J5" s="37" t="s">
        <v>76</v>
      </c>
      <c r="K5" s="35" t="s">
        <v>77</v>
      </c>
      <c r="L5" s="35"/>
      <c r="M5" s="35">
        <v>3</v>
      </c>
      <c r="N5" s="32"/>
    </row>
    <row r="6" spans="1:14" ht="23.25" customHeight="1" thickBot="1" x14ac:dyDescent="0.3">
      <c r="A6" s="141"/>
      <c r="B6" s="38" t="s">
        <v>78</v>
      </c>
      <c r="C6" s="31" t="s">
        <v>79</v>
      </c>
      <c r="D6" s="39"/>
      <c r="E6" s="39"/>
      <c r="F6" s="32"/>
      <c r="G6" s="40">
        <v>42217</v>
      </c>
      <c r="H6" s="41" t="s">
        <v>6</v>
      </c>
      <c r="I6" s="17" t="str">
        <f t="shared" si="0"/>
        <v>-  AN(S)</v>
      </c>
      <c r="J6" s="5" t="s">
        <v>5</v>
      </c>
      <c r="K6" s="17" t="str">
        <f>IF(J6="-","-",DATEDIF(H6,J6,"y"))&amp;"  AN(S)"</f>
        <v>-  AN(S)</v>
      </c>
      <c r="L6" s="17"/>
      <c r="M6" s="17"/>
      <c r="N6" s="32"/>
    </row>
    <row r="7" spans="1:14" ht="23.25" customHeight="1" thickBot="1" x14ac:dyDescent="0.3">
      <c r="A7" s="141"/>
      <c r="B7" s="135" t="s">
        <v>80</v>
      </c>
      <c r="C7" s="31" t="s">
        <v>81</v>
      </c>
      <c r="D7" s="39"/>
      <c r="E7" s="33"/>
      <c r="F7" s="32"/>
      <c r="G7" s="40">
        <v>42552</v>
      </c>
      <c r="H7" s="40">
        <v>44378</v>
      </c>
      <c r="I7" s="17" t="str">
        <f t="shared" si="0"/>
        <v>5  AN(S)</v>
      </c>
      <c r="J7" s="42" t="s">
        <v>82</v>
      </c>
      <c r="K7" s="35" t="s">
        <v>83</v>
      </c>
      <c r="L7" s="35"/>
      <c r="M7" s="35">
        <v>1804</v>
      </c>
      <c r="N7" s="32"/>
    </row>
    <row r="8" spans="1:14" ht="23.25" customHeight="1" thickBot="1" x14ac:dyDescent="0.3">
      <c r="A8" s="141"/>
      <c r="B8" s="135"/>
      <c r="C8" s="31" t="s">
        <v>84</v>
      </c>
      <c r="D8" s="32"/>
      <c r="E8" s="32"/>
      <c r="F8" s="32"/>
      <c r="G8" s="40">
        <v>44348</v>
      </c>
      <c r="H8" s="41" t="s">
        <v>6</v>
      </c>
      <c r="I8" s="17" t="str">
        <f t="shared" si="0"/>
        <v>-  AN(S)</v>
      </c>
      <c r="J8" s="5" t="s">
        <v>5</v>
      </c>
      <c r="K8" s="17" t="str">
        <f>IF(J8="-","-",DATEDIF(H8,J8,"y"))&amp;"  AN(S)"</f>
        <v>-  AN(S)</v>
      </c>
      <c r="L8" s="17"/>
      <c r="M8" s="17"/>
      <c r="N8" s="32"/>
    </row>
    <row r="9" spans="1:14" ht="23.25" customHeight="1" thickBot="1" x14ac:dyDescent="0.3">
      <c r="A9" s="141"/>
      <c r="B9" s="135"/>
      <c r="C9" s="31" t="s">
        <v>85</v>
      </c>
      <c r="D9" s="32"/>
      <c r="E9" s="32"/>
      <c r="F9" s="32"/>
      <c r="G9" s="40">
        <v>44378</v>
      </c>
      <c r="H9" s="41" t="s">
        <v>6</v>
      </c>
      <c r="I9" s="17" t="str">
        <f t="shared" si="0"/>
        <v>-  AN(S)</v>
      </c>
      <c r="J9" s="5" t="s">
        <v>5</v>
      </c>
      <c r="K9" s="17" t="str">
        <f>IF(J9="-","-",DATEDIF(H9,J9,"y"))&amp;"  AN(S)"</f>
        <v>-  AN(S)</v>
      </c>
      <c r="L9" s="17"/>
      <c r="M9" s="17"/>
      <c r="N9" s="32"/>
    </row>
    <row r="10" spans="1:14" ht="23.25" customHeight="1" thickBot="1" x14ac:dyDescent="0.3">
      <c r="A10" s="141"/>
      <c r="B10" s="135"/>
      <c r="C10" s="31" t="s">
        <v>86</v>
      </c>
      <c r="D10" s="32"/>
      <c r="E10" s="32"/>
      <c r="F10" s="32"/>
      <c r="G10" s="43" t="s">
        <v>87</v>
      </c>
      <c r="H10" s="44" t="s">
        <v>6</v>
      </c>
      <c r="I10" s="17" t="str">
        <f t="shared" si="0"/>
        <v>-  AN(S)</v>
      </c>
      <c r="J10" s="5" t="s">
        <v>5</v>
      </c>
      <c r="K10" s="17" t="str">
        <f>IF(J10="-","-",DATEDIF(H10,J10,"y"))&amp;"  AN(S)"</f>
        <v>-  AN(S)</v>
      </c>
      <c r="L10" s="17"/>
      <c r="M10" s="17">
        <v>367</v>
      </c>
      <c r="N10" s="32"/>
    </row>
    <row r="11" spans="1:14" ht="23.25" customHeight="1" thickBot="1" x14ac:dyDescent="0.3">
      <c r="A11" s="141"/>
      <c r="B11" s="135" t="s">
        <v>88</v>
      </c>
      <c r="C11" s="147" t="s">
        <v>89</v>
      </c>
      <c r="D11" s="127"/>
      <c r="E11" s="129"/>
      <c r="F11" s="127"/>
      <c r="G11" s="131">
        <v>42522</v>
      </c>
      <c r="H11" s="132" t="s">
        <v>6</v>
      </c>
      <c r="I11" s="111" t="str">
        <f t="shared" si="0"/>
        <v>-  AN(S)</v>
      </c>
      <c r="J11" s="114" t="s">
        <v>90</v>
      </c>
      <c r="K11" s="149" t="s">
        <v>91</v>
      </c>
      <c r="L11" s="45"/>
      <c r="M11" s="45"/>
      <c r="N11" s="32"/>
    </row>
    <row r="12" spans="1:14" ht="23.25" customHeight="1" thickBot="1" x14ac:dyDescent="0.3">
      <c r="A12" s="141"/>
      <c r="B12" s="135"/>
      <c r="C12" s="148"/>
      <c r="D12" s="128"/>
      <c r="E12" s="130"/>
      <c r="F12" s="128"/>
      <c r="G12" s="131"/>
      <c r="H12" s="133"/>
      <c r="I12" s="112"/>
      <c r="J12" s="115"/>
      <c r="K12" s="150"/>
      <c r="L12" s="46"/>
      <c r="M12" s="46"/>
      <c r="N12" s="32"/>
    </row>
    <row r="13" spans="1:14" ht="23.25" customHeight="1" thickBot="1" x14ac:dyDescent="0.3">
      <c r="A13" s="141"/>
      <c r="B13" s="146"/>
      <c r="C13" s="148"/>
      <c r="D13" s="128"/>
      <c r="E13" s="130"/>
      <c r="F13" s="128"/>
      <c r="G13" s="131"/>
      <c r="H13" s="133"/>
      <c r="I13" s="113"/>
      <c r="J13" s="115"/>
      <c r="K13" s="151"/>
      <c r="L13" s="47"/>
      <c r="M13" s="47"/>
      <c r="N13" s="32"/>
    </row>
    <row r="14" spans="1:14" ht="95.25" customHeight="1" thickTop="1" x14ac:dyDescent="0.25"/>
    <row r="15" spans="1:14" ht="95.25" customHeight="1" x14ac:dyDescent="0.25"/>
    <row r="16" spans="1:14" ht="95.25" customHeight="1" x14ac:dyDescent="0.25"/>
    <row r="17" ht="95.25" customHeight="1" x14ac:dyDescent="0.25"/>
    <row r="18" ht="95.25" customHeight="1" x14ac:dyDescent="0.25"/>
    <row r="19" ht="95.25" customHeight="1" x14ac:dyDescent="0.25"/>
  </sheetData>
  <mergeCells count="17">
    <mergeCell ref="A4:A13"/>
    <mergeCell ref="B4:B5"/>
    <mergeCell ref="B7:B10"/>
    <mergeCell ref="B11:B13"/>
    <mergeCell ref="C11:C13"/>
    <mergeCell ref="J11:J13"/>
    <mergeCell ref="B2:B3"/>
    <mergeCell ref="C2:C3"/>
    <mergeCell ref="D2:F2"/>
    <mergeCell ref="G2:N2"/>
    <mergeCell ref="D11:D13"/>
    <mergeCell ref="K11:K13"/>
    <mergeCell ref="E11:E13"/>
    <mergeCell ref="F11:F13"/>
    <mergeCell ref="G11:G13"/>
    <mergeCell ref="H11:H13"/>
    <mergeCell ref="I11:I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936F-D5D3-49A3-AE6A-9369292240E0}">
  <dimension ref="A1:N12"/>
  <sheetViews>
    <sheetView workbookViewId="0">
      <selection activeCell="C4" sqref="C4:C5"/>
    </sheetView>
  </sheetViews>
  <sheetFormatPr baseColWidth="10" defaultRowHeight="15" x14ac:dyDescent="0.25"/>
  <cols>
    <col min="3" max="3" width="50.28515625" bestFit="1" customWidth="1"/>
    <col min="5" max="5" width="54.7109375" bestFit="1" customWidth="1"/>
  </cols>
  <sheetData>
    <row r="1" spans="1:14" x14ac:dyDescent="0.25">
      <c r="L1" s="49"/>
      <c r="M1" s="49"/>
    </row>
    <row r="2" spans="1:14" x14ac:dyDescent="0.25">
      <c r="L2" s="49"/>
      <c r="M2" s="49"/>
    </row>
    <row r="3" spans="1:14" x14ac:dyDescent="0.25">
      <c r="L3" s="49"/>
      <c r="M3" s="49"/>
    </row>
    <row r="4" spans="1:14" ht="15.75" customHeight="1" x14ac:dyDescent="0.25">
      <c r="B4" s="145" t="s">
        <v>0</v>
      </c>
      <c r="C4" s="145" t="s">
        <v>12</v>
      </c>
      <c r="D4" s="136" t="s">
        <v>1</v>
      </c>
      <c r="E4" s="136"/>
      <c r="F4" s="136"/>
      <c r="G4" s="137" t="s">
        <v>13</v>
      </c>
      <c r="H4" s="138"/>
      <c r="I4" s="138"/>
      <c r="J4" s="138"/>
      <c r="K4" s="138"/>
      <c r="L4" s="138"/>
      <c r="M4" s="138"/>
      <c r="N4" s="139"/>
    </row>
    <row r="5" spans="1:14" ht="15.75" customHeight="1" thickBot="1" x14ac:dyDescent="0.3">
      <c r="B5" s="145"/>
      <c r="C5" s="145"/>
      <c r="D5" s="19" t="s">
        <v>2</v>
      </c>
      <c r="E5" s="19" t="s">
        <v>16</v>
      </c>
      <c r="F5" s="19" t="s">
        <v>3</v>
      </c>
      <c r="G5" s="19" t="s">
        <v>14</v>
      </c>
      <c r="H5" s="19" t="s">
        <v>15</v>
      </c>
      <c r="I5" s="19" t="s">
        <v>67</v>
      </c>
      <c r="J5" s="19" t="s">
        <v>17</v>
      </c>
      <c r="K5" s="64" t="s">
        <v>69</v>
      </c>
      <c r="L5" s="19" t="s">
        <v>65</v>
      </c>
      <c r="M5" s="19" t="s">
        <v>66</v>
      </c>
      <c r="N5" s="19" t="s">
        <v>62</v>
      </c>
    </row>
    <row r="6" spans="1:14" ht="15.75" customHeight="1" x14ac:dyDescent="0.25">
      <c r="A6" s="152" t="s">
        <v>93</v>
      </c>
      <c r="B6" s="122" t="s">
        <v>94</v>
      </c>
      <c r="C6" s="50" t="s">
        <v>95</v>
      </c>
      <c r="D6" s="8"/>
      <c r="E6" s="7"/>
      <c r="F6" s="51"/>
      <c r="G6" s="51" t="s">
        <v>96</v>
      </c>
      <c r="H6" s="44" t="s">
        <v>6</v>
      </c>
      <c r="I6" s="52" t="str">
        <f>IF(H6="EN COURS","-",DATEDIF(G6,H6,"y"))&amp;"  AN(S)"</f>
        <v>-  AN(S)</v>
      </c>
      <c r="J6" s="53" t="s">
        <v>5</v>
      </c>
      <c r="K6" s="54" t="str">
        <f t="shared" ref="K6:K12" si="0">IF(J6="-","-",DATEDIF(H6,J6,"y"))&amp;"  AN(S)"</f>
        <v>-  AN(S)</v>
      </c>
      <c r="L6" s="55">
        <f>'[2]Base de Données'!$BV$2</f>
        <v>33</v>
      </c>
      <c r="M6" s="56" t="str">
        <f>'[2]Base de Données'!$BW$2</f>
        <v>70</v>
      </c>
      <c r="N6" s="57"/>
    </row>
    <row r="7" spans="1:14" ht="15.75" customHeight="1" thickBot="1" x14ac:dyDescent="0.3">
      <c r="A7" s="153"/>
      <c r="B7" s="123"/>
      <c r="C7" s="50" t="s">
        <v>97</v>
      </c>
      <c r="D7" s="8"/>
      <c r="E7" s="7"/>
      <c r="F7" s="51"/>
      <c r="G7" s="51" t="s">
        <v>96</v>
      </c>
      <c r="H7" s="44" t="s">
        <v>6</v>
      </c>
      <c r="I7" s="52" t="str">
        <f t="shared" ref="I7:I12" si="1">IF(H7="EN COURS","-",DATEDIF(G7,H7,"y"))&amp;"  AN(S)"</f>
        <v>-  AN(S)</v>
      </c>
      <c r="J7" s="53" t="s">
        <v>5</v>
      </c>
      <c r="K7" s="54" t="str">
        <f t="shared" si="0"/>
        <v>-  AN(S)</v>
      </c>
      <c r="L7" s="55">
        <f>'[2]Base de Données'!$BV$3</f>
        <v>17</v>
      </c>
      <c r="M7" s="58" t="str">
        <f>'[2]Base de Données'!$BW$3</f>
        <v>26</v>
      </c>
      <c r="N7" s="57"/>
    </row>
    <row r="8" spans="1:14" ht="15.75" customHeight="1" thickBot="1" x14ac:dyDescent="0.3">
      <c r="A8" s="153"/>
      <c r="B8" s="59" t="s">
        <v>98</v>
      </c>
      <c r="C8" s="50" t="s">
        <v>99</v>
      </c>
      <c r="D8" s="8"/>
      <c r="E8" s="7"/>
      <c r="F8" s="51"/>
      <c r="G8" s="51">
        <v>44279</v>
      </c>
      <c r="H8" s="44" t="s">
        <v>6</v>
      </c>
      <c r="I8" s="52" t="str">
        <f t="shared" si="1"/>
        <v>-  AN(S)</v>
      </c>
      <c r="J8" s="53" t="s">
        <v>5</v>
      </c>
      <c r="K8" s="54" t="str">
        <f t="shared" si="0"/>
        <v>-  AN(S)</v>
      </c>
      <c r="L8" s="55">
        <f>'[2]Base de Données'!$BV$4</f>
        <v>33</v>
      </c>
      <c r="M8" s="58" t="str">
        <f>'[2]Base de Données'!$BW$4</f>
        <v>33</v>
      </c>
      <c r="N8" s="57"/>
    </row>
    <row r="9" spans="1:14" ht="15.75" customHeight="1" x14ac:dyDescent="0.25">
      <c r="A9" s="153"/>
      <c r="B9" s="124" t="s">
        <v>100</v>
      </c>
      <c r="C9" s="50" t="s">
        <v>101</v>
      </c>
      <c r="D9" s="8"/>
      <c r="E9" s="7"/>
      <c r="F9" s="51"/>
      <c r="G9" s="51">
        <v>45392</v>
      </c>
      <c r="H9" s="44" t="s">
        <v>6</v>
      </c>
      <c r="I9" s="52" t="str">
        <f t="shared" si="1"/>
        <v>-  AN(S)</v>
      </c>
      <c r="J9" s="53" t="s">
        <v>5</v>
      </c>
      <c r="K9" s="54" t="str">
        <f t="shared" si="0"/>
        <v>-  AN(S)</v>
      </c>
      <c r="L9" s="60">
        <f>'[2]Base de Données'!$BV$5</f>
        <v>21</v>
      </c>
      <c r="M9" s="61">
        <f>'[2]Base de Données'!$BW$5</f>
        <v>21</v>
      </c>
      <c r="N9" s="57"/>
    </row>
    <row r="10" spans="1:14" ht="15.75" customHeight="1" x14ac:dyDescent="0.25">
      <c r="A10" s="153"/>
      <c r="B10" s="125"/>
      <c r="C10" s="50" t="s">
        <v>102</v>
      </c>
      <c r="D10" s="8"/>
      <c r="E10" s="7"/>
      <c r="F10" s="51"/>
      <c r="G10" s="51">
        <v>45097</v>
      </c>
      <c r="H10" s="44" t="s">
        <v>6</v>
      </c>
      <c r="I10" s="52" t="str">
        <f t="shared" si="1"/>
        <v>-  AN(S)</v>
      </c>
      <c r="J10" s="53" t="s">
        <v>5</v>
      </c>
      <c r="K10" s="54" t="str">
        <f t="shared" si="0"/>
        <v>-  AN(S)</v>
      </c>
      <c r="L10" s="60">
        <f>'[2]Base de Données'!$BV$6</f>
        <v>12</v>
      </c>
      <c r="M10" s="61">
        <f>'[2]Base de Données'!$BW$6</f>
        <v>12</v>
      </c>
      <c r="N10" s="57"/>
    </row>
    <row r="11" spans="1:14" ht="15.75" customHeight="1" thickBot="1" x14ac:dyDescent="0.3">
      <c r="A11" s="153"/>
      <c r="B11" s="126"/>
      <c r="C11" s="50" t="s">
        <v>103</v>
      </c>
      <c r="D11" s="8"/>
      <c r="E11" s="7"/>
      <c r="F11" s="51"/>
      <c r="G11" s="51">
        <v>43482</v>
      </c>
      <c r="H11" s="44" t="s">
        <v>6</v>
      </c>
      <c r="I11" s="52" t="str">
        <f t="shared" si="1"/>
        <v>-  AN(S)</v>
      </c>
      <c r="J11" s="53" t="s">
        <v>5</v>
      </c>
      <c r="K11" s="54" t="str">
        <f t="shared" si="0"/>
        <v>-  AN(S)</v>
      </c>
      <c r="L11" s="55">
        <f>'[2]Base de Données'!$BV$7</f>
        <v>0</v>
      </c>
      <c r="M11" s="63">
        <f>'[2]Base de Données'!$BW$7</f>
        <v>0</v>
      </c>
      <c r="N11" s="57"/>
    </row>
    <row r="12" spans="1:14" ht="15.75" customHeight="1" thickBot="1" x14ac:dyDescent="0.3">
      <c r="A12" s="154"/>
      <c r="B12" s="62" t="s">
        <v>104</v>
      </c>
      <c r="C12" s="50" t="s">
        <v>105</v>
      </c>
      <c r="D12" s="8"/>
      <c r="E12" s="7"/>
      <c r="F12" s="51"/>
      <c r="G12" s="51">
        <v>45189</v>
      </c>
      <c r="H12" s="44" t="s">
        <v>6</v>
      </c>
      <c r="I12" s="52" t="str">
        <f t="shared" si="1"/>
        <v>-  AN(S)</v>
      </c>
      <c r="J12" s="53" t="s">
        <v>5</v>
      </c>
      <c r="K12" s="54" t="str">
        <f t="shared" si="0"/>
        <v>-  AN(S)</v>
      </c>
      <c r="L12" s="55">
        <f>'[2]Base de Données'!$BV$8</f>
        <v>32</v>
      </c>
      <c r="M12" s="63">
        <f>'[2]Base de Données'!$BW$8</f>
        <v>32</v>
      </c>
      <c r="N12" s="57"/>
    </row>
  </sheetData>
  <mergeCells count="7">
    <mergeCell ref="B4:B5"/>
    <mergeCell ref="C4:C5"/>
    <mergeCell ref="D4:F4"/>
    <mergeCell ref="G4:N4"/>
    <mergeCell ref="A6:A12"/>
    <mergeCell ref="B6:B7"/>
    <mergeCell ref="B9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1D6B-AFF2-4765-91CF-6242E636DF58}">
  <dimension ref="A4:N25"/>
  <sheetViews>
    <sheetView topLeftCell="B6" zoomScale="50" zoomScaleNormal="50" workbookViewId="0">
      <selection activeCell="G6" sqref="G6:H25"/>
    </sheetView>
  </sheetViews>
  <sheetFormatPr baseColWidth="10" defaultRowHeight="15" x14ac:dyDescent="0.25"/>
  <cols>
    <col min="1" max="14" width="35" customWidth="1"/>
  </cols>
  <sheetData>
    <row r="4" spans="1:14" ht="18.75" x14ac:dyDescent="0.25">
      <c r="B4" s="145" t="s">
        <v>0</v>
      </c>
      <c r="C4" s="145" t="s">
        <v>12</v>
      </c>
      <c r="D4" s="136" t="s">
        <v>1</v>
      </c>
      <c r="E4" s="136"/>
      <c r="F4" s="136"/>
      <c r="G4" s="137" t="s">
        <v>13</v>
      </c>
      <c r="H4" s="138"/>
      <c r="I4" s="138"/>
      <c r="J4" s="138"/>
      <c r="K4" s="138"/>
      <c r="L4" s="138"/>
      <c r="M4" s="138"/>
      <c r="N4" s="139"/>
    </row>
    <row r="5" spans="1:14" ht="57" thickBot="1" x14ac:dyDescent="0.3">
      <c r="B5" s="145"/>
      <c r="C5" s="145"/>
      <c r="D5" s="19" t="s">
        <v>2</v>
      </c>
      <c r="E5" s="19" t="s">
        <v>16</v>
      </c>
      <c r="F5" s="19" t="s">
        <v>3</v>
      </c>
      <c r="G5" s="19" t="s">
        <v>14</v>
      </c>
      <c r="H5" s="19" t="s">
        <v>15</v>
      </c>
      <c r="I5" s="19" t="s">
        <v>106</v>
      </c>
      <c r="J5" s="19" t="s">
        <v>17</v>
      </c>
      <c r="K5" s="19" t="s">
        <v>68</v>
      </c>
      <c r="L5" s="19" t="s">
        <v>65</v>
      </c>
      <c r="M5" s="19" t="s">
        <v>66</v>
      </c>
      <c r="N5" s="19" t="s">
        <v>62</v>
      </c>
    </row>
    <row r="6" spans="1:14" ht="15.75" thickTop="1" x14ac:dyDescent="0.25">
      <c r="A6" s="108" t="s">
        <v>107</v>
      </c>
      <c r="B6" s="143" t="s">
        <v>108</v>
      </c>
      <c r="C6" s="69" t="s">
        <v>109</v>
      </c>
      <c r="D6" s="70"/>
      <c r="E6" s="71"/>
      <c r="F6" s="72">
        <v>44886</v>
      </c>
      <c r="G6" s="101" t="s">
        <v>110</v>
      </c>
      <c r="H6" s="102" t="s">
        <v>111</v>
      </c>
      <c r="I6" s="3" t="str">
        <f>IF(H6="EN COURS","-",DATEDIF(G6,H6,"y"))&amp;"  AN(S)"</f>
        <v>7  AN(S)</v>
      </c>
      <c r="J6" s="73">
        <v>45616</v>
      </c>
      <c r="K6" s="54" t="str">
        <f>IF(J6="-","-",DATEDIF(H6,J6,"y"))&amp;"  AN(S)"</f>
        <v>0  AN(S)</v>
      </c>
      <c r="L6" s="74">
        <v>110</v>
      </c>
      <c r="M6" s="74">
        <v>110</v>
      </c>
      <c r="N6" s="75"/>
    </row>
    <row r="7" spans="1:14" x14ac:dyDescent="0.25">
      <c r="A7" s="141"/>
      <c r="B7" s="143"/>
      <c r="C7" s="69" t="s">
        <v>112</v>
      </c>
      <c r="D7" s="70"/>
      <c r="E7" s="71"/>
      <c r="F7" s="72">
        <v>44886</v>
      </c>
      <c r="G7" s="101" t="s">
        <v>113</v>
      </c>
      <c r="H7" s="102" t="s">
        <v>111</v>
      </c>
      <c r="I7" s="3" t="str">
        <f t="shared" ref="I7:I16" si="0">IF(H7="EN COURS","-",DATEDIF(G7,H7,"y"))&amp;"  AN(S)"</f>
        <v>7  AN(S)</v>
      </c>
      <c r="J7" s="73">
        <v>45616</v>
      </c>
      <c r="K7" s="54" t="str">
        <f t="shared" ref="K7:K25" si="1">IF(J7="-","-",DATEDIF(H7,J7,"y"))&amp;"  AN(S)"</f>
        <v>0  AN(S)</v>
      </c>
      <c r="L7" s="74">
        <v>90</v>
      </c>
      <c r="M7" s="74">
        <v>90</v>
      </c>
      <c r="N7" s="75"/>
    </row>
    <row r="8" spans="1:14" x14ac:dyDescent="0.25">
      <c r="A8" s="141"/>
      <c r="B8" s="143"/>
      <c r="C8" s="69" t="s">
        <v>114</v>
      </c>
      <c r="D8" s="70"/>
      <c r="E8" s="71"/>
      <c r="F8" s="72">
        <v>43374</v>
      </c>
      <c r="G8" s="101" t="s">
        <v>151</v>
      </c>
      <c r="H8" s="102" t="s">
        <v>116</v>
      </c>
      <c r="I8" s="3" t="str">
        <f t="shared" si="0"/>
        <v>5  AN(S)</v>
      </c>
      <c r="J8" s="73" t="s">
        <v>117</v>
      </c>
      <c r="K8" s="54" t="s">
        <v>118</v>
      </c>
      <c r="L8" s="74">
        <v>5</v>
      </c>
      <c r="M8" s="74">
        <v>5</v>
      </c>
      <c r="N8" s="75"/>
    </row>
    <row r="9" spans="1:14" x14ac:dyDescent="0.25">
      <c r="A9" s="141"/>
      <c r="B9" s="143"/>
      <c r="C9" s="69" t="s">
        <v>119</v>
      </c>
      <c r="D9" s="71"/>
      <c r="E9" s="70" t="s">
        <v>120</v>
      </c>
      <c r="F9" s="72"/>
      <c r="G9" s="101" t="s">
        <v>115</v>
      </c>
      <c r="H9" s="102">
        <v>46231</v>
      </c>
      <c r="I9" s="3" t="str">
        <f t="shared" si="0"/>
        <v>7  AN(S)</v>
      </c>
      <c r="J9" s="73"/>
      <c r="K9" s="54" t="e">
        <f t="shared" si="1"/>
        <v>#NUM!</v>
      </c>
      <c r="L9" s="74">
        <v>21</v>
      </c>
      <c r="M9" s="74">
        <v>21</v>
      </c>
      <c r="N9" s="75"/>
    </row>
    <row r="10" spans="1:14" x14ac:dyDescent="0.25">
      <c r="A10" s="141"/>
      <c r="B10" s="143"/>
      <c r="C10" s="69" t="s">
        <v>121</v>
      </c>
      <c r="D10" s="71"/>
      <c r="E10" s="70"/>
      <c r="F10" s="72"/>
      <c r="G10" s="101"/>
      <c r="H10" s="102"/>
      <c r="I10" s="3"/>
      <c r="J10" s="73"/>
      <c r="K10" s="54"/>
      <c r="L10" s="74">
        <v>46</v>
      </c>
      <c r="M10" s="74">
        <v>46</v>
      </c>
      <c r="N10" s="75"/>
    </row>
    <row r="11" spans="1:14" x14ac:dyDescent="0.25">
      <c r="A11" s="141"/>
      <c r="B11" s="143"/>
      <c r="C11" s="69" t="s">
        <v>122</v>
      </c>
      <c r="D11" s="71"/>
      <c r="E11" s="70"/>
      <c r="F11" s="72"/>
      <c r="G11" s="101" t="s">
        <v>152</v>
      </c>
      <c r="H11" s="102">
        <v>45687</v>
      </c>
      <c r="I11" s="3"/>
      <c r="J11" s="73"/>
      <c r="K11" s="54"/>
      <c r="L11" s="74">
        <v>1</v>
      </c>
      <c r="M11" s="74">
        <v>1</v>
      </c>
      <c r="N11" s="75"/>
    </row>
    <row r="12" spans="1:14" x14ac:dyDescent="0.25">
      <c r="A12" s="141"/>
      <c r="B12" s="143"/>
      <c r="C12" s="69" t="s">
        <v>123</v>
      </c>
      <c r="D12" s="71"/>
      <c r="E12" s="70" t="s">
        <v>120</v>
      </c>
      <c r="F12" s="72">
        <v>45734</v>
      </c>
      <c r="G12" s="101" t="s">
        <v>153</v>
      </c>
      <c r="H12" s="72">
        <v>45734</v>
      </c>
      <c r="I12" s="3" t="str">
        <f t="shared" si="0"/>
        <v>5  AN(S)</v>
      </c>
      <c r="J12" s="73">
        <v>47379</v>
      </c>
      <c r="K12" s="54" t="str">
        <f t="shared" si="1"/>
        <v>4  AN(S)</v>
      </c>
      <c r="L12" s="74">
        <v>255</v>
      </c>
      <c r="M12" s="74">
        <v>255</v>
      </c>
      <c r="N12" s="75"/>
    </row>
    <row r="13" spans="1:14" ht="15.75" x14ac:dyDescent="0.25">
      <c r="A13" s="141"/>
      <c r="B13" s="143"/>
      <c r="C13" s="69" t="s">
        <v>124</v>
      </c>
      <c r="D13" s="71"/>
      <c r="E13" s="70" t="s">
        <v>120</v>
      </c>
      <c r="F13" s="76"/>
      <c r="G13" s="101" t="s">
        <v>154</v>
      </c>
      <c r="H13" s="104" t="s">
        <v>6</v>
      </c>
      <c r="I13" s="3" t="str">
        <f t="shared" si="0"/>
        <v>-  AN(S)</v>
      </c>
      <c r="J13" s="77">
        <v>47570</v>
      </c>
      <c r="K13" s="54" t="s">
        <v>91</v>
      </c>
      <c r="L13" s="74">
        <v>270</v>
      </c>
      <c r="M13" s="74">
        <v>270</v>
      </c>
      <c r="N13" s="75"/>
    </row>
    <row r="14" spans="1:14" ht="15.75" x14ac:dyDescent="0.25">
      <c r="A14" s="141"/>
      <c r="B14" s="143"/>
      <c r="C14" s="69" t="s">
        <v>125</v>
      </c>
      <c r="D14" s="71"/>
      <c r="E14" s="70" t="s">
        <v>120</v>
      </c>
      <c r="F14" s="72">
        <v>47570</v>
      </c>
      <c r="G14" s="101" t="s">
        <v>155</v>
      </c>
      <c r="H14" s="104">
        <v>45744</v>
      </c>
      <c r="I14" s="3" t="str">
        <f t="shared" si="0"/>
        <v>5  AN(S)</v>
      </c>
      <c r="J14" s="77">
        <v>47570</v>
      </c>
      <c r="K14" s="54" t="s">
        <v>91</v>
      </c>
      <c r="L14" s="74">
        <v>32</v>
      </c>
      <c r="M14" s="74">
        <v>32</v>
      </c>
      <c r="N14" s="75"/>
    </row>
    <row r="15" spans="1:14" ht="15.75" x14ac:dyDescent="0.25">
      <c r="A15" s="141"/>
      <c r="B15" s="143"/>
      <c r="C15" s="69" t="s">
        <v>126</v>
      </c>
      <c r="D15" s="71"/>
      <c r="E15" s="70" t="s">
        <v>120</v>
      </c>
      <c r="F15" s="72">
        <v>47570</v>
      </c>
      <c r="G15" s="101" t="s">
        <v>155</v>
      </c>
      <c r="H15" s="104">
        <v>45744</v>
      </c>
      <c r="I15" s="3" t="str">
        <f t="shared" si="0"/>
        <v>5  AN(S)</v>
      </c>
      <c r="J15" s="77">
        <v>47570</v>
      </c>
      <c r="K15" s="54" t="s">
        <v>91</v>
      </c>
      <c r="L15" s="74">
        <v>243</v>
      </c>
      <c r="M15" s="74">
        <v>243</v>
      </c>
      <c r="N15" s="75"/>
    </row>
    <row r="16" spans="1:14" ht="42" customHeight="1" x14ac:dyDescent="0.25">
      <c r="A16" s="141"/>
      <c r="B16" s="143" t="s">
        <v>127</v>
      </c>
      <c r="C16" s="69" t="s">
        <v>128</v>
      </c>
      <c r="D16" s="70"/>
      <c r="E16" s="71"/>
      <c r="F16" s="78">
        <v>48579</v>
      </c>
      <c r="G16" s="101" t="s">
        <v>129</v>
      </c>
      <c r="H16" s="44" t="s">
        <v>6</v>
      </c>
      <c r="I16" s="3" t="str">
        <f t="shared" si="0"/>
        <v>-  AN(S)</v>
      </c>
      <c r="J16" s="73" t="s">
        <v>130</v>
      </c>
      <c r="K16" s="54" t="s">
        <v>91</v>
      </c>
      <c r="L16" s="74">
        <v>347</v>
      </c>
      <c r="M16" s="74">
        <v>3217</v>
      </c>
      <c r="N16" s="75"/>
    </row>
    <row r="17" spans="1:14" ht="42" customHeight="1" x14ac:dyDescent="0.25">
      <c r="A17" s="141"/>
      <c r="B17" s="143"/>
      <c r="C17" s="69" t="s">
        <v>131</v>
      </c>
      <c r="D17" s="71"/>
      <c r="E17" s="70"/>
      <c r="F17" s="51">
        <v>50405</v>
      </c>
      <c r="G17" s="101" t="s">
        <v>156</v>
      </c>
      <c r="H17" s="103">
        <v>47968</v>
      </c>
      <c r="I17" s="3" t="s">
        <v>132</v>
      </c>
      <c r="J17" s="53" t="s">
        <v>5</v>
      </c>
      <c r="K17" s="54" t="str">
        <f t="shared" si="1"/>
        <v>-  AN(S)</v>
      </c>
      <c r="L17" s="74">
        <v>61</v>
      </c>
      <c r="M17" s="74">
        <v>379</v>
      </c>
      <c r="N17" s="75"/>
    </row>
    <row r="18" spans="1:14" ht="42" customHeight="1" x14ac:dyDescent="0.25">
      <c r="A18" s="141"/>
      <c r="B18" s="143"/>
      <c r="C18" s="69" t="s">
        <v>133</v>
      </c>
      <c r="D18" s="71"/>
      <c r="E18" s="70"/>
      <c r="F18" s="78">
        <v>50405</v>
      </c>
      <c r="G18" s="101" t="s">
        <v>157</v>
      </c>
      <c r="H18" s="102">
        <v>47968</v>
      </c>
      <c r="I18" s="3" t="s">
        <v>132</v>
      </c>
      <c r="J18" s="53" t="s">
        <v>5</v>
      </c>
      <c r="K18" s="54" t="str">
        <f t="shared" si="1"/>
        <v>-  AN(S)</v>
      </c>
      <c r="L18" s="74">
        <v>3</v>
      </c>
      <c r="M18" s="74">
        <v>6</v>
      </c>
      <c r="N18" s="75"/>
    </row>
    <row r="19" spans="1:14" ht="42" customHeight="1" x14ac:dyDescent="0.25">
      <c r="A19" s="141"/>
      <c r="B19" s="143"/>
      <c r="C19" s="69" t="s">
        <v>134</v>
      </c>
      <c r="D19" s="70"/>
      <c r="E19" s="71"/>
      <c r="F19" s="78">
        <v>46752</v>
      </c>
      <c r="G19" s="101" t="s">
        <v>120</v>
      </c>
      <c r="H19" s="102">
        <v>43343</v>
      </c>
      <c r="I19" s="3" t="s">
        <v>132</v>
      </c>
      <c r="J19" s="73">
        <v>45291</v>
      </c>
      <c r="K19" s="54" t="str">
        <f t="shared" si="1"/>
        <v>5  AN(S)</v>
      </c>
      <c r="L19" s="74">
        <v>15</v>
      </c>
      <c r="M19" s="74">
        <v>22</v>
      </c>
      <c r="N19" s="75"/>
    </row>
    <row r="20" spans="1:14" ht="42" customHeight="1" x14ac:dyDescent="0.25">
      <c r="A20" s="141"/>
      <c r="B20" s="143"/>
      <c r="C20" s="69" t="s">
        <v>135</v>
      </c>
      <c r="D20" s="70"/>
      <c r="E20" s="71"/>
      <c r="F20" s="78">
        <v>46752</v>
      </c>
      <c r="G20" s="101" t="s">
        <v>120</v>
      </c>
      <c r="H20" s="102">
        <v>43343</v>
      </c>
      <c r="I20" s="3" t="s">
        <v>132</v>
      </c>
      <c r="J20" s="73">
        <v>43343</v>
      </c>
      <c r="K20" s="54" t="str">
        <f t="shared" si="1"/>
        <v>0  AN(S)</v>
      </c>
      <c r="L20" s="74">
        <v>3</v>
      </c>
      <c r="M20" s="74">
        <v>5</v>
      </c>
      <c r="N20" s="75"/>
    </row>
    <row r="21" spans="1:14" ht="42" customHeight="1" x14ac:dyDescent="0.25">
      <c r="A21" s="141"/>
      <c r="B21" s="143"/>
      <c r="C21" s="69" t="s">
        <v>136</v>
      </c>
      <c r="D21" s="70"/>
      <c r="E21" s="71"/>
      <c r="F21" s="78">
        <v>46752</v>
      </c>
      <c r="G21" s="101" t="s">
        <v>120</v>
      </c>
      <c r="H21" s="102">
        <v>43343</v>
      </c>
      <c r="I21" s="3" t="s">
        <v>132</v>
      </c>
      <c r="J21" s="73">
        <v>43343</v>
      </c>
      <c r="K21" s="54" t="str">
        <f t="shared" si="1"/>
        <v>0  AN(S)</v>
      </c>
      <c r="L21" s="74">
        <v>32</v>
      </c>
      <c r="M21" s="74">
        <v>249</v>
      </c>
      <c r="N21" s="75"/>
    </row>
    <row r="22" spans="1:14" ht="42" customHeight="1" x14ac:dyDescent="0.25">
      <c r="A22" s="141"/>
      <c r="B22" s="143"/>
      <c r="C22" s="69" t="s">
        <v>137</v>
      </c>
      <c r="D22" s="70"/>
      <c r="E22" s="71"/>
      <c r="F22" s="78">
        <v>46387</v>
      </c>
      <c r="G22" s="101" t="s">
        <v>120</v>
      </c>
      <c r="H22" s="102">
        <v>43434</v>
      </c>
      <c r="I22" s="3" t="s">
        <v>132</v>
      </c>
      <c r="J22" s="73">
        <v>45350</v>
      </c>
      <c r="K22" s="54" t="str">
        <f t="shared" si="1"/>
        <v>5  AN(S)</v>
      </c>
      <c r="L22" s="74">
        <v>3</v>
      </c>
      <c r="M22" s="74">
        <v>14</v>
      </c>
      <c r="N22" s="75"/>
    </row>
    <row r="23" spans="1:14" ht="42" customHeight="1" x14ac:dyDescent="0.25">
      <c r="A23" s="141"/>
      <c r="B23" s="143"/>
      <c r="C23" s="69" t="s">
        <v>138</v>
      </c>
      <c r="D23" s="70"/>
      <c r="E23" s="71"/>
      <c r="F23" s="78">
        <v>48579</v>
      </c>
      <c r="G23" s="101" t="s">
        <v>120</v>
      </c>
      <c r="H23" s="102" t="s">
        <v>139</v>
      </c>
      <c r="I23" s="3" t="s">
        <v>132</v>
      </c>
      <c r="J23" s="73" t="s">
        <v>130</v>
      </c>
      <c r="K23" s="54" t="s">
        <v>91</v>
      </c>
      <c r="L23" s="74">
        <v>18</v>
      </c>
      <c r="M23" s="74">
        <v>20</v>
      </c>
      <c r="N23" s="75"/>
    </row>
    <row r="24" spans="1:14" ht="42" customHeight="1" x14ac:dyDescent="0.25">
      <c r="A24" s="141"/>
      <c r="B24" s="144"/>
      <c r="C24" s="69" t="s">
        <v>140</v>
      </c>
      <c r="D24" s="70"/>
      <c r="E24" s="71"/>
      <c r="F24" s="78">
        <v>48579</v>
      </c>
      <c r="G24" s="101" t="s">
        <v>120</v>
      </c>
      <c r="H24" s="102" t="s">
        <v>139</v>
      </c>
      <c r="I24" s="3" t="s">
        <v>132</v>
      </c>
      <c r="J24" s="73" t="s">
        <v>130</v>
      </c>
      <c r="K24" s="54" t="s">
        <v>91</v>
      </c>
      <c r="L24" s="74">
        <v>262</v>
      </c>
      <c r="M24" s="74">
        <v>344</v>
      </c>
      <c r="N24" s="75"/>
    </row>
    <row r="25" spans="1:14" ht="42" customHeight="1" thickBot="1" x14ac:dyDescent="0.3">
      <c r="A25" s="142"/>
      <c r="B25" s="144"/>
      <c r="C25" s="79" t="s">
        <v>141</v>
      </c>
      <c r="D25" s="70"/>
      <c r="E25" s="71"/>
      <c r="F25" s="78">
        <v>45291</v>
      </c>
      <c r="G25" s="101" t="s">
        <v>120</v>
      </c>
      <c r="H25" s="102">
        <v>42673</v>
      </c>
      <c r="I25" s="3" t="s">
        <v>132</v>
      </c>
      <c r="J25" s="53" t="s">
        <v>5</v>
      </c>
      <c r="K25" s="54" t="str">
        <f t="shared" si="1"/>
        <v>-  AN(S)</v>
      </c>
      <c r="L25" s="74">
        <v>22</v>
      </c>
      <c r="M25" s="74">
        <v>80</v>
      </c>
      <c r="N25" s="80" t="s">
        <v>5</v>
      </c>
    </row>
  </sheetData>
  <mergeCells count="7">
    <mergeCell ref="B4:B5"/>
    <mergeCell ref="C4:C5"/>
    <mergeCell ref="D4:F4"/>
    <mergeCell ref="G4:N4"/>
    <mergeCell ref="A6:A25"/>
    <mergeCell ref="B6:B15"/>
    <mergeCell ref="B16:B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8ABF-C079-439E-A3A2-1840F7AB7884}">
  <dimension ref="A4:N7"/>
  <sheetViews>
    <sheetView workbookViewId="0">
      <selection activeCell="A6" sqref="A6:N7"/>
    </sheetView>
  </sheetViews>
  <sheetFormatPr baseColWidth="10" defaultRowHeight="15" x14ac:dyDescent="0.25"/>
  <cols>
    <col min="2" max="2" width="25.85546875" customWidth="1"/>
    <col min="3" max="3" width="56.7109375" customWidth="1"/>
    <col min="4" max="4" width="16.7109375" bestFit="1" customWidth="1"/>
    <col min="5" max="5" width="22.5703125" bestFit="1" customWidth="1"/>
    <col min="6" max="6" width="19.42578125" bestFit="1" customWidth="1"/>
    <col min="7" max="7" width="22.7109375" bestFit="1" customWidth="1"/>
    <col min="8" max="14" width="25.85546875" customWidth="1"/>
  </cols>
  <sheetData>
    <row r="4" spans="1:14" ht="18.75" x14ac:dyDescent="0.25">
      <c r="B4" s="145" t="s">
        <v>0</v>
      </c>
      <c r="C4" s="145" t="s">
        <v>12</v>
      </c>
      <c r="D4" s="136" t="s">
        <v>1</v>
      </c>
      <c r="E4" s="136"/>
      <c r="F4" s="136"/>
      <c r="G4" s="137" t="s">
        <v>13</v>
      </c>
      <c r="H4" s="138"/>
      <c r="I4" s="138"/>
      <c r="J4" s="138"/>
      <c r="K4" s="138"/>
      <c r="L4" s="138"/>
      <c r="M4" s="138"/>
      <c r="N4" s="139"/>
    </row>
    <row r="5" spans="1:14" ht="75.75" thickBot="1" x14ac:dyDescent="0.3">
      <c r="B5" s="145"/>
      <c r="C5" s="145"/>
      <c r="D5" s="29" t="s">
        <v>2</v>
      </c>
      <c r="E5" s="29" t="s">
        <v>16</v>
      </c>
      <c r="F5" s="29" t="s">
        <v>3</v>
      </c>
      <c r="G5" s="29" t="s">
        <v>14</v>
      </c>
      <c r="H5" s="29" t="s">
        <v>15</v>
      </c>
      <c r="I5" s="29" t="s">
        <v>67</v>
      </c>
      <c r="J5" s="29" t="s">
        <v>17</v>
      </c>
      <c r="K5" s="29" t="s">
        <v>142</v>
      </c>
      <c r="L5" s="29" t="s">
        <v>65</v>
      </c>
      <c r="M5" s="29" t="s">
        <v>66</v>
      </c>
      <c r="N5" s="29" t="s">
        <v>62</v>
      </c>
    </row>
    <row r="6" spans="1:14" ht="16.5" thickTop="1" thickBot="1" x14ac:dyDescent="0.3">
      <c r="A6" s="108" t="s">
        <v>143</v>
      </c>
      <c r="B6" s="110" t="s">
        <v>127</v>
      </c>
      <c r="C6" s="95" t="s">
        <v>131</v>
      </c>
      <c r="D6" s="17" t="s">
        <v>144</v>
      </c>
      <c r="E6" s="17"/>
      <c r="F6" s="96" t="s">
        <v>145</v>
      </c>
      <c r="G6" s="3"/>
      <c r="H6" s="96" t="s">
        <v>145</v>
      </c>
      <c r="I6" s="3" t="s">
        <v>132</v>
      </c>
      <c r="J6" s="5" t="s">
        <v>145</v>
      </c>
      <c r="K6" s="97"/>
      <c r="L6" s="97">
        <v>33</v>
      </c>
      <c r="M6" s="97">
        <v>44</v>
      </c>
      <c r="N6" s="54" t="s">
        <v>146</v>
      </c>
    </row>
    <row r="7" spans="1:14" ht="26.25" thickBot="1" x14ac:dyDescent="0.3">
      <c r="A7" s="141"/>
      <c r="B7" s="110"/>
      <c r="C7" s="95" t="s">
        <v>147</v>
      </c>
      <c r="D7" s="17" t="s">
        <v>144</v>
      </c>
      <c r="E7" s="17"/>
      <c r="F7" s="96" t="s">
        <v>148</v>
      </c>
      <c r="G7" s="3"/>
      <c r="H7" s="96" t="s">
        <v>149</v>
      </c>
      <c r="I7" s="3" t="s">
        <v>132</v>
      </c>
      <c r="J7" s="5">
        <v>48121</v>
      </c>
      <c r="K7" s="97" t="s">
        <v>150</v>
      </c>
      <c r="L7" s="97">
        <v>33</v>
      </c>
      <c r="M7" s="97">
        <v>317</v>
      </c>
      <c r="N7" s="54"/>
    </row>
  </sheetData>
  <mergeCells count="6">
    <mergeCell ref="B4:B5"/>
    <mergeCell ref="C4:C5"/>
    <mergeCell ref="D4:F4"/>
    <mergeCell ref="G4:N4"/>
    <mergeCell ref="A6:A7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Synth</vt:lpstr>
      <vt:lpstr>Acrelec</vt:lpstr>
      <vt:lpstr>NCR</vt:lpstr>
      <vt:lpstr>Stelogy</vt:lpstr>
      <vt:lpstr>Interway</vt:lpstr>
      <vt:lpstr>Casyope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Lepivert</dc:creator>
  <cp:lastModifiedBy>Lemoigne, PATRICE</cp:lastModifiedBy>
  <cp:lastPrinted>2018-12-18T18:28:35Z</cp:lastPrinted>
  <dcterms:created xsi:type="dcterms:W3CDTF">2018-11-15T14:19:41Z</dcterms:created>
  <dcterms:modified xsi:type="dcterms:W3CDTF">2026-04-21T12:55:21Z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2026-01-05T14:31:45Z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01597706-340f-42c1-8104-06b076ecf2fc</vt:lpwstr>
  </property>
  <property fmtid="{D5CDD505-2E9C-101B-9397-08002B2CF9AE}" pid="8" name="MSIP_Label_bffa3880-44e8-458b-8d4d-5acc5ed3d728_ContentBits">
    <vt:lpwstr>0</vt:lpwstr>
  </property>
  <property fmtid="{D5CDD505-2E9C-101B-9397-08002B2CF9AE}" pid="9" name="MSIP_Label_bffa3880-44e8-458b-8d4d-5acc5ed3d728_Tag">
    <vt:lpwstr>10, 3, 0, 1</vt:lpwstr>
  </property>
</Properties>
</file>